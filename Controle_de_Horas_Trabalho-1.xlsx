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1" autoFilterDateGrouping="1"/>
  </bookViews>
  <sheets>
    <sheet name="Controle de Horas" sheetId="1" state="visible" r:id="rId1"/>
    <sheet name="Filtro" sheetId="2" state="visible" r:id="rId2"/>
    <sheet name="Gestão Financeira" sheetId="3" state="visible" r:id="rId3"/>
    <sheet name="Investimentos" sheetId="4" state="visible" r:id="rId4"/>
  </sheets>
  <definedNames/>
  <calcPr calcId="171027" fullCalcOnLoad="1"/>
</workbook>
</file>

<file path=xl/styles.xml><?xml version="1.0" encoding="utf-8"?>
<styleSheet xmlns="http://schemas.openxmlformats.org/spreadsheetml/2006/main">
  <numFmts count="2">
    <numFmt numFmtId="164" formatCode="h:mm;@"/>
    <numFmt numFmtId="165" formatCode="[h]:mm"/>
  </numFmts>
  <fonts count="6">
    <font>
      <name val="Calibri"/>
      <family val="2"/>
      <color theme="1"/>
      <sz val="11"/>
      <scheme val="minor"/>
    </font>
    <font>
      <name val="Calibri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name val="Calibri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3" fillId="3" borderId="0" pivotButton="0" quotePrefix="0" xfId="0"/>
    <xf numFmtId="15" fontId="4" fillId="4" borderId="0" pivotButton="0" quotePrefix="0" xfId="0"/>
    <xf numFmtId="164" fontId="1" fillId="0" borderId="0" pivotButton="0" quotePrefix="0" xfId="0"/>
    <xf numFmtId="4" fontId="1" fillId="0" borderId="0" pivotButton="0" quotePrefix="0" xfId="0"/>
    <xf numFmtId="20" fontId="1" fillId="0" borderId="0" applyAlignment="1" pivotButton="0" quotePrefix="0" xfId="0">
      <alignment horizontal="left"/>
    </xf>
    <xf numFmtId="20" fontId="4" fillId="0" borderId="0" applyAlignment="1" pivotButton="0" quotePrefix="0" xfId="0">
      <alignment horizontal="left"/>
    </xf>
    <xf numFmtId="0" fontId="1" fillId="5" borderId="0" pivotButton="0" quotePrefix="0" xfId="0"/>
    <xf numFmtId="0" fontId="1" fillId="6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15" fontId="4" fillId="5" borderId="0" pivotButton="0" quotePrefix="0" xfId="0"/>
    <xf numFmtId="0" fontId="1" fillId="2" borderId="0" pivotButton="0" quotePrefix="0" xfId="0"/>
    <xf numFmtId="0" fontId="1" fillId="0" borderId="0" pivotButton="0" quotePrefix="0" xfId="0"/>
    <xf numFmtId="15" fontId="1" fillId="0" borderId="0" pivotButton="0" quotePrefix="0" xfId="0"/>
    <xf numFmtId="165" fontId="1" fillId="0" borderId="0" pivotButton="0" quotePrefix="0" xfId="0"/>
    <xf numFmtId="15" fontId="1" fillId="2" borderId="0" pivotButton="0" quotePrefix="0" xfId="0"/>
    <xf numFmtId="4" fontId="1" fillId="2" borderId="0" pivotButton="0" quotePrefix="0" xfId="0"/>
    <xf numFmtId="0" fontId="5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2" displayName="Tabela2" ref="A1:J366" headerRowCount="0" totalsRowShown="1">
  <autoFilter ref="A1:J36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</autoFilter>
  <tableColumns count="7">
    <tableColumn id="1" name="Data"/>
    <tableColumn id="2" name="Dia da Semana"/>
    <tableColumn id="3" name="Entrada 1"/>
    <tableColumn id="4" name="Saída 1"/>
    <tableColumn id="5" name="Entrada 2"/>
    <tableColumn id="6" name="Saída 2"/>
    <tableColumn id="7" name="Horas do D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0"/>
  <sheetViews>
    <sheetView zoomScale="80" zoomScaleNormal="100" workbookViewId="0">
      <selection activeCell="F154" sqref="F154"/>
    </sheetView>
  </sheetViews>
  <sheetFormatPr baseColWidth="8" defaultColWidth="12.5078125" defaultRowHeight="15" outlineLevelRow="0"/>
  <cols>
    <col width="17.484375" customWidth="1" min="1" max="2"/>
    <col width="17.484375" customWidth="1" style="1" min="3" max="6"/>
    <col width="17.484375" customWidth="1" min="7" max="7"/>
    <col width="19.234375" customWidth="1" min="8" max="8"/>
    <col width="13.1796875" customWidth="1" min="9" max="9"/>
    <col width="7.53125" customWidth="1" min="10" max="11"/>
  </cols>
  <sheetData>
    <row r="1">
      <c r="A1" s="2" t="inlineStr">
        <is>
          <t>Data</t>
        </is>
      </c>
      <c r="B1" s="3" t="inlineStr">
        <is>
          <t>Dia da Semana</t>
        </is>
      </c>
      <c r="C1" s="4" t="inlineStr">
        <is>
          <t>Entrada 1</t>
        </is>
      </c>
      <c r="D1" s="4" t="inlineStr">
        <is>
          <t>Saída 1</t>
        </is>
      </c>
      <c r="E1" s="4" t="inlineStr">
        <is>
          <t>Entrada 2</t>
        </is>
      </c>
      <c r="F1" s="4" t="inlineStr">
        <is>
          <t>Saída 2</t>
        </is>
      </c>
      <c r="G1" s="3" t="inlineStr">
        <is>
          <t>Horas do Dia</t>
        </is>
      </c>
      <c r="H1" s="3" t="inlineStr">
        <is>
          <t>Valor do Dia (R$)</t>
        </is>
      </c>
      <c r="I1" s="3" t="inlineStr">
        <is>
          <t>Valor Hora</t>
        </is>
      </c>
      <c r="J1" s="5" t="inlineStr">
        <is>
          <t>Observações</t>
        </is>
      </c>
      <c r="K1" t="inlineStr">
        <is>
          <t>Status Pagamento</t>
        </is>
      </c>
      <c r="L1" t="inlineStr">
        <is>
          <t>Saída de Casa</t>
        </is>
      </c>
      <c r="M1" t="inlineStr">
        <is>
          <t>Chegada em Casa</t>
        </is>
      </c>
      <c r="N1" t="inlineStr">
        <is>
          <t>Tempo de Trajeto</t>
        </is>
      </c>
      <c r="O1" t="inlineStr">
        <is>
          <t>Tempo Fora de Casa</t>
        </is>
      </c>
    </row>
    <row r="2">
      <c r="A2" s="6" t="n">
        <v>46023</v>
      </c>
      <c r="B2" t="inlineStr">
        <is>
          <t>Quinta-feira</t>
        </is>
      </c>
      <c r="C2" s="1" t="n"/>
      <c r="D2" s="1" t="n"/>
      <c r="E2" s="1" t="n"/>
      <c r="F2" s="1" t="n"/>
      <c r="G2" s="7">
        <f>IF(AND(C2&lt;&gt;"",D2&lt;&gt;""),(D2-C2),0)+IF(AND(E2&lt;&gt;"",F2&lt;&gt;""),(F2-E2),0)</f>
        <v/>
      </c>
      <c r="H2" s="8">
        <f>(G2*24)*$I$2</f>
        <v/>
      </c>
      <c r="I2" t="n">
        <v>12</v>
      </c>
      <c r="K2" t="inlineStr">
        <is>
          <t>Pago</t>
        </is>
      </c>
    </row>
    <row r="3">
      <c r="A3" s="6" t="n">
        <v>46024</v>
      </c>
      <c r="B3" t="inlineStr">
        <is>
          <t>Sexta-feira</t>
        </is>
      </c>
      <c r="C3" s="1" t="n"/>
      <c r="D3" s="1" t="n"/>
      <c r="E3" s="1" t="n"/>
      <c r="F3" s="1" t="n"/>
      <c r="G3" s="7">
        <f>IF(AND(C3&lt;&gt;"",D3&lt;&gt;""),(D3-C3),0)+IF(AND(E3&lt;&gt;"",F3&lt;&gt;""),(F3-E3),0)</f>
        <v/>
      </c>
      <c r="H3" s="8">
        <f>(G3*24)*$I$2</f>
        <v/>
      </c>
      <c r="K3" t="inlineStr">
        <is>
          <t>Pago</t>
        </is>
      </c>
    </row>
    <row r="4">
      <c r="A4" s="6" t="n">
        <v>46025</v>
      </c>
      <c r="B4" t="inlineStr">
        <is>
          <t>Sábado</t>
        </is>
      </c>
      <c r="C4" s="1" t="n"/>
      <c r="D4" s="1" t="n"/>
      <c r="E4" s="1" t="n"/>
      <c r="F4" s="1" t="n"/>
      <c r="G4" s="7">
        <f>IF(AND(C4&lt;&gt;"",D4&lt;&gt;""),(D4-C4),0)+IF(AND(E4&lt;&gt;"",F4&lt;&gt;""),(F4-E4),0)</f>
        <v/>
      </c>
      <c r="H4" s="8">
        <f>(G4*24)*$I$2</f>
        <v/>
      </c>
      <c r="K4" t="inlineStr">
        <is>
          <t>Pago</t>
        </is>
      </c>
    </row>
    <row r="5">
      <c r="A5" s="6" t="n">
        <v>46026</v>
      </c>
      <c r="B5" t="inlineStr">
        <is>
          <t>Domingo</t>
        </is>
      </c>
      <c r="C5" s="1" t="n"/>
      <c r="D5" s="1" t="n"/>
      <c r="E5" s="1" t="n"/>
      <c r="F5" s="1" t="n"/>
      <c r="G5" s="7">
        <f>IF(AND(C5&lt;&gt;"",D5&lt;&gt;""),(D5-C5),0)+IF(AND(E5&lt;&gt;"",F5&lt;&gt;""),(F5-E5),0)</f>
        <v/>
      </c>
      <c r="H5" s="8">
        <f>(G5*24)*$I$2</f>
        <v/>
      </c>
      <c r="K5" t="inlineStr">
        <is>
          <t>Pago</t>
        </is>
      </c>
    </row>
    <row r="6">
      <c r="A6" s="6" t="n">
        <v>46027</v>
      </c>
      <c r="B6" t="inlineStr">
        <is>
          <t>Segunda-feira</t>
        </is>
      </c>
      <c r="C6" s="9" t="n"/>
      <c r="D6" s="9" t="n"/>
      <c r="E6" s="1" t="n"/>
      <c r="F6" s="1" t="n"/>
      <c r="G6" s="7">
        <f>IF(AND(C6&lt;&gt;"",D6&lt;&gt;""),(D6-C6),0)+IF(AND(E6&lt;&gt;"",F6&lt;&gt;""),(F6-E6),0)</f>
        <v/>
      </c>
      <c r="H6" s="8">
        <f>(G6*24)*$I$2</f>
        <v/>
      </c>
      <c r="K6" t="inlineStr">
        <is>
          <t>Pago</t>
        </is>
      </c>
    </row>
    <row r="7">
      <c r="A7" s="6" t="n">
        <v>46028</v>
      </c>
      <c r="B7" t="inlineStr">
        <is>
          <t>Terça-feira</t>
        </is>
      </c>
      <c r="C7" s="1" t="inlineStr">
        <is>
          <t>17:05</t>
        </is>
      </c>
      <c r="D7" s="1" t="inlineStr">
        <is>
          <t>21:10</t>
        </is>
      </c>
      <c r="E7" s="1" t="n"/>
      <c r="F7" s="1" t="n"/>
      <c r="G7" s="7">
        <f>IF(AND(C7&lt;&gt;"",D7&lt;&gt;""),(D7-C7),0)+IF(AND(E7&lt;&gt;"",F7&lt;&gt;""),(F7-E7),0)</f>
        <v/>
      </c>
      <c r="H7" s="8">
        <f>(G7*24)*$I$2</f>
        <v/>
      </c>
      <c r="K7" t="inlineStr">
        <is>
          <t>Pago</t>
        </is>
      </c>
    </row>
    <row r="8">
      <c r="A8" s="6" t="n">
        <v>46029</v>
      </c>
      <c r="B8" t="inlineStr">
        <is>
          <t>Quarta-feira</t>
        </is>
      </c>
      <c r="C8" s="1" t="inlineStr">
        <is>
          <t>16:10</t>
        </is>
      </c>
      <c r="D8" s="1" t="inlineStr">
        <is>
          <t>21:20</t>
        </is>
      </c>
      <c r="E8" s="1" t="n"/>
      <c r="F8" s="1" t="n"/>
      <c r="G8" s="7">
        <f>IF(AND(C8&lt;&gt;"",D8&lt;&gt;""),(D8-C8),0)+IF(AND(E8&lt;&gt;"",F8&lt;&gt;""),(F8-E8),0)</f>
        <v/>
      </c>
      <c r="H8" s="8">
        <f>(G8*24)*$I$2</f>
        <v/>
      </c>
      <c r="K8" t="inlineStr">
        <is>
          <t>Pago</t>
        </is>
      </c>
    </row>
    <row r="9">
      <c r="A9" s="6" t="n">
        <v>46030</v>
      </c>
      <c r="B9" t="inlineStr">
        <is>
          <t>Quinta-feira</t>
        </is>
      </c>
      <c r="C9" s="1" t="inlineStr">
        <is>
          <t>16:40</t>
        </is>
      </c>
      <c r="D9" s="1" t="inlineStr">
        <is>
          <t>21:00</t>
        </is>
      </c>
      <c r="E9" s="1" t="n"/>
      <c r="F9" s="1" t="n"/>
      <c r="G9" s="7">
        <f>IF(AND(C9&lt;&gt;"",D9&lt;&gt;""),(D9-C9),0)+IF(AND(E9&lt;&gt;"",F9&lt;&gt;""),(F9-E9),0)</f>
        <v/>
      </c>
      <c r="H9" s="8">
        <f>(G9*24)*$I$2</f>
        <v/>
      </c>
      <c r="K9" t="inlineStr">
        <is>
          <t>Pago</t>
        </is>
      </c>
    </row>
    <row r="10">
      <c r="A10" s="6" t="n">
        <v>46031</v>
      </c>
      <c r="B10" t="inlineStr">
        <is>
          <t>Sexta-feira</t>
        </is>
      </c>
      <c r="C10" s="1" t="inlineStr">
        <is>
          <t>17:05</t>
        </is>
      </c>
      <c r="D10" s="1" t="inlineStr">
        <is>
          <t>21:00</t>
        </is>
      </c>
      <c r="E10" s="1" t="n"/>
      <c r="F10" s="1" t="n"/>
      <c r="G10" s="7">
        <f>IF(AND(C10&lt;&gt;"",D10&lt;&gt;""),(D10-C10),0)+IF(AND(E10&lt;&gt;"",F10&lt;&gt;""),(F10-E10),0)</f>
        <v/>
      </c>
      <c r="H10" s="8">
        <f>(G10*24)*$I$2</f>
        <v/>
      </c>
      <c r="K10" t="inlineStr">
        <is>
          <t>Pago</t>
        </is>
      </c>
    </row>
    <row r="11">
      <c r="A11" s="6" t="n">
        <v>46032</v>
      </c>
      <c r="B11" t="inlineStr">
        <is>
          <t>Sábado</t>
        </is>
      </c>
      <c r="C11" s="1" t="inlineStr">
        <is>
          <t>09:20</t>
        </is>
      </c>
      <c r="D11" s="1" t="inlineStr">
        <is>
          <t>12:00</t>
        </is>
      </c>
      <c r="E11" s="1" t="inlineStr">
        <is>
          <t>13:30</t>
        </is>
      </c>
      <c r="F11" s="1" t="inlineStr">
        <is>
          <t>21:45</t>
        </is>
      </c>
      <c r="G11" s="7">
        <f>IF(AND(C11&lt;&gt;"",D11&lt;&gt;""),(D11-C11),0)+IF(AND(E11&lt;&gt;"",F11&lt;&gt;""),(F11-E11),0)</f>
        <v/>
      </c>
      <c r="H11" s="8">
        <f>(G11*24)*$I$2</f>
        <v/>
      </c>
      <c r="K11" t="inlineStr">
        <is>
          <t>Pago</t>
        </is>
      </c>
    </row>
    <row r="12">
      <c r="A12" s="6" t="n">
        <v>46033</v>
      </c>
      <c r="B12" t="inlineStr">
        <is>
          <t>Domingo</t>
        </is>
      </c>
      <c r="C12" s="1" t="n"/>
      <c r="D12" s="1" t="n"/>
      <c r="E12" s="1" t="n"/>
      <c r="F12" s="1" t="n"/>
      <c r="G12" s="7">
        <f>IF(AND(C12&lt;&gt;"",D12&lt;&gt;""),(D12-C12),0)+IF(AND(E12&lt;&gt;"",F12&lt;&gt;""),(F12-E12),0)</f>
        <v/>
      </c>
      <c r="H12" s="8">
        <f>(G12*24)*$I$2</f>
        <v/>
      </c>
      <c r="K12" t="inlineStr">
        <is>
          <t>Pago</t>
        </is>
      </c>
    </row>
    <row r="13">
      <c r="A13" s="6" t="n">
        <v>46034</v>
      </c>
      <c r="B13" t="inlineStr">
        <is>
          <t>Segunda-feira</t>
        </is>
      </c>
      <c r="C13" s="1" t="n"/>
      <c r="D13" s="1" t="n"/>
      <c r="E13" s="1" t="n"/>
      <c r="F13" s="1" t="n"/>
      <c r="G13" s="7">
        <f>IF(AND(C13&lt;&gt;"",D13&lt;&gt;""),(D13-C13),0)+IF(AND(E13&lt;&gt;"",F13&lt;&gt;""),(F13-E13),0)</f>
        <v/>
      </c>
      <c r="H13" s="8">
        <f>(G13*24)*$I$2</f>
        <v/>
      </c>
      <c r="K13" t="inlineStr">
        <is>
          <t>Pago</t>
        </is>
      </c>
    </row>
    <row r="14">
      <c r="A14" s="6" t="n">
        <v>46035</v>
      </c>
      <c r="B14" t="inlineStr">
        <is>
          <t>Terça-feira</t>
        </is>
      </c>
      <c r="C14" s="1" t="inlineStr">
        <is>
          <t>17:05</t>
        </is>
      </c>
      <c r="D14" s="1" t="inlineStr">
        <is>
          <t>21:00</t>
        </is>
      </c>
      <c r="E14" s="1" t="n"/>
      <c r="F14" s="1" t="n"/>
      <c r="G14" s="7">
        <f>IF(AND(C14&lt;&gt;"",D14&lt;&gt;""),(D14-C14),0)+IF(AND(E14&lt;&gt;"",F14&lt;&gt;""),(F14-E14),0)</f>
        <v/>
      </c>
      <c r="H14" s="8">
        <f>(G14*24)*$I$2</f>
        <v/>
      </c>
      <c r="K14" t="inlineStr">
        <is>
          <t>Pago</t>
        </is>
      </c>
    </row>
    <row r="15">
      <c r="A15" s="6" t="n">
        <v>46036</v>
      </c>
      <c r="B15" t="inlineStr">
        <is>
          <t>Quarta-feira</t>
        </is>
      </c>
      <c r="C15" s="1" t="inlineStr">
        <is>
          <t>17:00</t>
        </is>
      </c>
      <c r="D15" s="1" t="inlineStr">
        <is>
          <t>21:00</t>
        </is>
      </c>
      <c r="E15" s="1" t="n"/>
      <c r="F15" s="1" t="n"/>
      <c r="G15" s="7">
        <f>IF(AND(C15&lt;&gt;"",D15&lt;&gt;""),(D15-C15),0)+IF(AND(E15&lt;&gt;"",F15&lt;&gt;""),(F15-E15),0)</f>
        <v/>
      </c>
      <c r="H15" s="8">
        <f>(G15*24)*$I$2</f>
        <v/>
      </c>
      <c r="K15" t="inlineStr">
        <is>
          <t>Pago</t>
        </is>
      </c>
    </row>
    <row r="16">
      <c r="A16" s="6" t="n">
        <v>46037</v>
      </c>
      <c r="B16" t="inlineStr">
        <is>
          <t>Quinta-feira</t>
        </is>
      </c>
      <c r="C16" s="1" t="inlineStr">
        <is>
          <t>17:05</t>
        </is>
      </c>
      <c r="D16" s="1" t="inlineStr">
        <is>
          <t>22:00</t>
        </is>
      </c>
      <c r="E16" s="1" t="n"/>
      <c r="F16" s="1" t="n"/>
      <c r="G16" s="7">
        <f>IF(AND(C16&lt;&gt;"",D16&lt;&gt;""),(D16-C16),0)+IF(AND(E16&lt;&gt;"",F16&lt;&gt;""),(F16-E16),0)</f>
        <v/>
      </c>
      <c r="H16" s="8">
        <f>(G16*24)*$I$2</f>
        <v/>
      </c>
      <c r="K16" t="inlineStr">
        <is>
          <t>Pago</t>
        </is>
      </c>
    </row>
    <row r="17">
      <c r="A17" s="6" t="n">
        <v>46038</v>
      </c>
      <c r="B17" t="inlineStr">
        <is>
          <t>Sexta-feira</t>
        </is>
      </c>
      <c r="C17" s="1" t="inlineStr">
        <is>
          <t>17:00</t>
        </is>
      </c>
      <c r="D17" s="1" t="inlineStr">
        <is>
          <t>21:15</t>
        </is>
      </c>
      <c r="E17" s="1" t="n"/>
      <c r="F17" s="1" t="n"/>
      <c r="G17" s="7">
        <f>IF(AND(C17&lt;&gt;"",D17&lt;&gt;""),(D17-C17),0)+IF(AND(E17&lt;&gt;"",F17&lt;&gt;""),(F17-E17),0)</f>
        <v/>
      </c>
      <c r="H17" s="8">
        <f>(G17*24)*$I$2</f>
        <v/>
      </c>
      <c r="K17" t="inlineStr">
        <is>
          <t>Pago</t>
        </is>
      </c>
    </row>
    <row r="18">
      <c r="A18" s="6" t="n">
        <v>46039</v>
      </c>
      <c r="B18" t="inlineStr">
        <is>
          <t>Sábado</t>
        </is>
      </c>
      <c r="C18" s="1" t="inlineStr">
        <is>
          <t>09:35</t>
        </is>
      </c>
      <c r="D18" s="1" t="inlineStr">
        <is>
          <t>12:00</t>
        </is>
      </c>
      <c r="E18" s="1" t="inlineStr">
        <is>
          <t>13:30</t>
        </is>
      </c>
      <c r="F18" s="1" t="inlineStr">
        <is>
          <t>21:13</t>
        </is>
      </c>
      <c r="G18" s="7">
        <f>IF(AND(C18&lt;&gt;"",D18&lt;&gt;""),(D18-C18),0)+IF(AND(E18&lt;&gt;"",F18&lt;&gt;""),(F18-E18),0)</f>
        <v/>
      </c>
      <c r="H18" s="8">
        <f>(G18*24)*$I$2</f>
        <v/>
      </c>
      <c r="K18" t="inlineStr">
        <is>
          <t>Pago</t>
        </is>
      </c>
    </row>
    <row r="19">
      <c r="A19" s="6" t="n">
        <v>46040</v>
      </c>
      <c r="B19" t="inlineStr">
        <is>
          <t>Domingo</t>
        </is>
      </c>
      <c r="C19" s="1" t="n"/>
      <c r="D19" s="1" t="n"/>
      <c r="E19" s="1" t="n"/>
      <c r="F19" s="1" t="n"/>
      <c r="G19" s="7">
        <f>IF(AND(C19&lt;&gt;"",D19&lt;&gt;""),(D19-C19),0)+IF(AND(E19&lt;&gt;"",F19&lt;&gt;""),(F19-E19),0)</f>
        <v/>
      </c>
      <c r="H19" s="8">
        <f>(G19*24)*$I$2</f>
        <v/>
      </c>
      <c r="K19" t="inlineStr">
        <is>
          <t>Pago</t>
        </is>
      </c>
    </row>
    <row r="20">
      <c r="A20" s="6" t="n">
        <v>46041</v>
      </c>
      <c r="B20" t="inlineStr">
        <is>
          <t>Segunda-feira</t>
        </is>
      </c>
      <c r="C20" s="1" t="n"/>
      <c r="D20" s="1" t="n"/>
      <c r="E20" s="1" t="n"/>
      <c r="F20" s="1" t="n"/>
      <c r="G20" s="7">
        <f>IF(AND(C20&lt;&gt;"",D20&lt;&gt;""),(D20-C20),0)+IF(AND(E20&lt;&gt;"",F20&lt;&gt;""),(F20-E20),0)</f>
        <v/>
      </c>
      <c r="H20" s="8">
        <f>(G20*24)*$I$2</f>
        <v/>
      </c>
      <c r="K20" t="inlineStr">
        <is>
          <t>Pago</t>
        </is>
      </c>
    </row>
    <row r="21" ht="15.75" customHeight="1">
      <c r="A21" s="6" t="n">
        <v>46042</v>
      </c>
      <c r="B21" t="inlineStr">
        <is>
          <t>Terça-feira</t>
        </is>
      </c>
      <c r="C21" s="1" t="inlineStr">
        <is>
          <t>17:05</t>
        </is>
      </c>
      <c r="D21" s="1" t="inlineStr">
        <is>
          <t>21:15</t>
        </is>
      </c>
      <c r="E21" s="1" t="n"/>
      <c r="F21" s="1" t="n"/>
      <c r="G21" s="7">
        <f>IF(AND(C21&lt;&gt;"",D21&lt;&gt;""),(D21-C21),0)+IF(AND(E21&lt;&gt;"",F21&lt;&gt;""),(F21-E21),0)</f>
        <v/>
      </c>
      <c r="H21" s="8">
        <f>(G21*24)*$I$2</f>
        <v/>
      </c>
      <c r="K21" t="inlineStr">
        <is>
          <t>Pago</t>
        </is>
      </c>
    </row>
    <row r="22" ht="15.75" customHeight="1">
      <c r="A22" s="6" t="n">
        <v>46043</v>
      </c>
      <c r="B22" t="inlineStr">
        <is>
          <t>Quarta-feira</t>
        </is>
      </c>
      <c r="C22" s="1" t="inlineStr">
        <is>
          <t>17:10</t>
        </is>
      </c>
      <c r="D22" s="1" t="inlineStr">
        <is>
          <t>22:05</t>
        </is>
      </c>
      <c r="E22" s="1" t="n"/>
      <c r="F22" s="1" t="n"/>
      <c r="G22" s="7">
        <f>IF(AND(C22&lt;&gt;"",D22&lt;&gt;""),(D22-C22),0)+IF(AND(E22&lt;&gt;"",F22&lt;&gt;""),(F22-E22),0)</f>
        <v/>
      </c>
      <c r="H22" s="8">
        <f>(G22*24)*$I$2</f>
        <v/>
      </c>
      <c r="K22" t="inlineStr">
        <is>
          <t>Pago</t>
        </is>
      </c>
    </row>
    <row r="23" ht="15.75" customHeight="1">
      <c r="A23" s="6" t="n">
        <v>46044</v>
      </c>
      <c r="B23" t="inlineStr">
        <is>
          <t>Quinta-feira</t>
        </is>
      </c>
      <c r="C23" s="1" t="inlineStr">
        <is>
          <t>17:05</t>
        </is>
      </c>
      <c r="D23" s="1" t="inlineStr">
        <is>
          <t>21:00</t>
        </is>
      </c>
      <c r="E23" s="1" t="n"/>
      <c r="F23" s="1" t="n"/>
      <c r="G23" s="7">
        <f>IF(AND(C23&lt;&gt;"",D23&lt;&gt;""),(D23-C23),0)+IF(AND(E23&lt;&gt;"",F23&lt;&gt;""),(F23-E23),0)</f>
        <v/>
      </c>
      <c r="H23" s="8">
        <f>(G23*24)*$I$2</f>
        <v/>
      </c>
      <c r="K23" t="inlineStr">
        <is>
          <t>Pago</t>
        </is>
      </c>
    </row>
    <row r="24" ht="15.75" customHeight="1">
      <c r="A24" s="6" t="n">
        <v>46045</v>
      </c>
      <c r="B24" t="inlineStr">
        <is>
          <t>Sexta-feira</t>
        </is>
      </c>
      <c r="C24" s="1" t="inlineStr">
        <is>
          <t>17:05</t>
        </is>
      </c>
      <c r="D24" s="1" t="inlineStr">
        <is>
          <t>21:20</t>
        </is>
      </c>
      <c r="E24" s="1" t="n"/>
      <c r="F24" s="1" t="n"/>
      <c r="G24" s="7">
        <f>IF(AND(C24&lt;&gt;"",D24&lt;&gt;""),(D24-C24),0)+IF(AND(E24&lt;&gt;"",F24&lt;&gt;""),(F24-E24),0)</f>
        <v/>
      </c>
      <c r="H24" s="8">
        <f>(G24*24)*$I$2</f>
        <v/>
      </c>
      <c r="K24" t="inlineStr">
        <is>
          <t>Pago</t>
        </is>
      </c>
    </row>
    <row r="25" ht="15.75" customHeight="1">
      <c r="A25" s="6" t="n">
        <v>46046</v>
      </c>
      <c r="B25" t="inlineStr">
        <is>
          <t>Sábado</t>
        </is>
      </c>
      <c r="C25" s="1" t="inlineStr">
        <is>
          <t>13:25</t>
        </is>
      </c>
      <c r="D25" s="1" t="inlineStr">
        <is>
          <t>21:10</t>
        </is>
      </c>
      <c r="E25" s="1" t="n"/>
      <c r="F25" s="1" t="n"/>
      <c r="G25" s="7">
        <f>IF(AND(C25&lt;&gt;"",D25&lt;&gt;""),(D25-C25),0)+IF(AND(E25&lt;&gt;"",F25&lt;&gt;""),(F25-E25),0)</f>
        <v/>
      </c>
      <c r="H25" s="8">
        <f>(G25*24)*$I$2</f>
        <v/>
      </c>
      <c r="K25" t="inlineStr">
        <is>
          <t>Pago</t>
        </is>
      </c>
    </row>
    <row r="26" ht="15.75" customHeight="1">
      <c r="A26" s="6" t="n">
        <v>46047</v>
      </c>
      <c r="B26" t="inlineStr">
        <is>
          <t>Domingo</t>
        </is>
      </c>
      <c r="C26" s="1" t="n"/>
      <c r="D26" s="1" t="n"/>
      <c r="E26" s="1" t="n"/>
      <c r="F26" s="1" t="n"/>
      <c r="G26" s="7">
        <f>IF(AND(C26&lt;&gt;"",D26&lt;&gt;""),(D26-C26),0)+IF(AND(E26&lt;&gt;"",F26&lt;&gt;""),(F26-E26),0)</f>
        <v/>
      </c>
      <c r="H26" s="8">
        <f>(G26*24)*$I$2</f>
        <v/>
      </c>
      <c r="K26" t="inlineStr">
        <is>
          <t>Pago</t>
        </is>
      </c>
    </row>
    <row r="27" ht="15.75" customHeight="1">
      <c r="A27" s="6" t="n">
        <v>46048</v>
      </c>
      <c r="B27" t="inlineStr">
        <is>
          <t>Segunda-feira</t>
        </is>
      </c>
      <c r="C27" s="1" t="n"/>
      <c r="D27" s="1" t="n"/>
      <c r="E27" s="1" t="n"/>
      <c r="F27" s="1" t="n"/>
      <c r="G27" s="7">
        <f>IF(AND(C27&lt;&gt;"",D27&lt;&gt;""),(D27-C27),0)+IF(AND(E27&lt;&gt;"",F27&lt;&gt;""),(F27-E27),0)</f>
        <v/>
      </c>
      <c r="H27" s="8">
        <f>(G27*24)*$I$2</f>
        <v/>
      </c>
      <c r="K27" t="inlineStr">
        <is>
          <t>Pago</t>
        </is>
      </c>
    </row>
    <row r="28" ht="15.75" customHeight="1">
      <c r="A28" s="6" t="n">
        <v>46049</v>
      </c>
      <c r="B28" t="inlineStr">
        <is>
          <t>Terça-feira</t>
        </is>
      </c>
      <c r="C28" s="1" t="inlineStr">
        <is>
          <t>16:20</t>
        </is>
      </c>
      <c r="D28" s="1" t="inlineStr">
        <is>
          <t>23:15</t>
        </is>
      </c>
      <c r="E28" s="1" t="n"/>
      <c r="F28" s="1" t="n"/>
      <c r="G28" s="7">
        <f>IF(AND(C28&lt;&gt;"",D28&lt;&gt;""),(D28-C28),0)+IF(AND(E28&lt;&gt;"",F28&lt;&gt;""),(F28-E28),0)</f>
        <v/>
      </c>
      <c r="H28" s="8">
        <f>(G28*24)*$I$2</f>
        <v/>
      </c>
      <c r="K28" t="inlineStr">
        <is>
          <t>Pago</t>
        </is>
      </c>
    </row>
    <row r="29" ht="15.75" customHeight="1">
      <c r="A29" s="6" t="n">
        <v>46050</v>
      </c>
      <c r="B29" t="inlineStr">
        <is>
          <t>Quarta-feira</t>
        </is>
      </c>
      <c r="C29" s="1" t="inlineStr">
        <is>
          <t>17:05</t>
        </is>
      </c>
      <c r="D29" s="1" t="inlineStr">
        <is>
          <t>21:45</t>
        </is>
      </c>
      <c r="E29" s="1" t="n"/>
      <c r="F29" s="1" t="n"/>
      <c r="G29" s="7">
        <f>IF(AND(C29&lt;&gt;"",D29&lt;&gt;""),(D29-C29),0)+IF(AND(E29&lt;&gt;"",F29&lt;&gt;""),(F29-E29),0)</f>
        <v/>
      </c>
      <c r="H29" s="8">
        <f>(G29*24)*$I$2</f>
        <v/>
      </c>
      <c r="K29" t="inlineStr">
        <is>
          <t>Pago</t>
        </is>
      </c>
    </row>
    <row r="30" ht="15.75" customHeight="1">
      <c r="A30" s="6" t="n">
        <v>46051</v>
      </c>
      <c r="B30" t="inlineStr">
        <is>
          <t>Quinta-feira</t>
        </is>
      </c>
      <c r="C30" s="1" t="inlineStr">
        <is>
          <t>16:50</t>
        </is>
      </c>
      <c r="D30" s="10" t="n">
        <v>0.875</v>
      </c>
      <c r="E30" s="1" t="n"/>
      <c r="F30" s="1" t="n"/>
      <c r="G30" s="7">
        <f>IF(AND(C30&lt;&gt;"",D30&lt;&gt;""),(D30-C30),0)+IF(AND(E30&lt;&gt;"",F30&lt;&gt;""),(F30-E30),0)</f>
        <v/>
      </c>
      <c r="H30" s="8">
        <f>(G30*24)*$I$2</f>
        <v/>
      </c>
      <c r="K30" t="inlineStr">
        <is>
          <t>Pago</t>
        </is>
      </c>
    </row>
    <row r="31" ht="15.75" customHeight="1">
      <c r="A31" s="6" t="n">
        <v>46052</v>
      </c>
      <c r="B31" t="inlineStr">
        <is>
          <t>Sexta-feira</t>
        </is>
      </c>
      <c r="C31" s="9" t="n">
        <v>0.7138888888888889</v>
      </c>
      <c r="D31" s="9" t="n">
        <v>0.9097222222222222</v>
      </c>
      <c r="E31" s="1" t="n"/>
      <c r="F31" s="1" t="n"/>
      <c r="G31" s="7">
        <f>IF(AND(C31&lt;&gt;"",D31&lt;&gt;""),(D31-C31),0)+IF(AND(E31&lt;&gt;"",F31&lt;&gt;""),(F31-E31),0)</f>
        <v/>
      </c>
      <c r="H31" s="8">
        <f>(G31*24)*$I$2</f>
        <v/>
      </c>
      <c r="K31" t="inlineStr">
        <is>
          <t>Pago</t>
        </is>
      </c>
    </row>
    <row r="32" ht="15.75" customHeight="1">
      <c r="A32" s="6" t="n">
        <v>46053</v>
      </c>
      <c r="B32" t="inlineStr">
        <is>
          <t>Sábado</t>
        </is>
      </c>
      <c r="C32" s="9" t="n">
        <v>0.3993055555555556</v>
      </c>
      <c r="D32" s="9" t="n">
        <v>0.5</v>
      </c>
      <c r="E32" s="9" t="n">
        <v>0.5590277777777778</v>
      </c>
      <c r="F32" s="9" t="n">
        <v>0.875</v>
      </c>
      <c r="G32" s="7">
        <f>IF(AND(C32&lt;&gt;"",D32&lt;&gt;""),(D32-C32),0)+IF(AND(E32&lt;&gt;"",F32&lt;&gt;""),(F32-E32),0)</f>
        <v/>
      </c>
      <c r="H32" s="8">
        <f>(G32*24)*$I$2</f>
        <v/>
      </c>
      <c r="K32" t="inlineStr">
        <is>
          <t>Pago</t>
        </is>
      </c>
    </row>
    <row r="33" ht="15.75" customHeight="1">
      <c r="A33" s="6" t="n">
        <v>46054</v>
      </c>
      <c r="B33" t="inlineStr">
        <is>
          <t>Domingo</t>
        </is>
      </c>
      <c r="C33" s="1" t="n"/>
      <c r="D33" s="1" t="n"/>
      <c r="E33" s="1" t="n"/>
      <c r="F33" s="1" t="n"/>
      <c r="G33" s="7">
        <f>IF(AND(C33&lt;&gt;"",D33&lt;&gt;""),(D33-C33),0)+IF(AND(E33&lt;&gt;"",F33&lt;&gt;""),(F33-E33),0)</f>
        <v/>
      </c>
      <c r="H33" s="8">
        <f>(G33*24)*$I$2</f>
        <v/>
      </c>
      <c r="I33" s="11" t="n"/>
      <c r="K33" t="inlineStr">
        <is>
          <t>Pago</t>
        </is>
      </c>
    </row>
    <row r="34" ht="15.75" customHeight="1">
      <c r="A34" s="6" t="n">
        <v>46055</v>
      </c>
      <c r="B34" t="inlineStr">
        <is>
          <t>Segunda-feira</t>
        </is>
      </c>
      <c r="C34" s="1" t="n"/>
      <c r="D34" s="1" t="n"/>
      <c r="E34" s="1" t="n"/>
      <c r="F34" s="1" t="n"/>
      <c r="G34" s="7">
        <f>IF(AND(C34&lt;&gt;"",D34&lt;&gt;""),(D34-C34),0)+IF(AND(E34&lt;&gt;"",F34&lt;&gt;""),(F34-E34),0)</f>
        <v/>
      </c>
      <c r="H34" s="8">
        <f>(G34*24)*$I$2</f>
        <v/>
      </c>
      <c r="K34" t="inlineStr">
        <is>
          <t>Pago</t>
        </is>
      </c>
    </row>
    <row r="35" ht="15.75" customHeight="1">
      <c r="A35" s="6" t="n">
        <v>46056</v>
      </c>
      <c r="B35" t="inlineStr">
        <is>
          <t>Terça-feira</t>
        </is>
      </c>
      <c r="C35" s="1" t="n"/>
      <c r="D35" s="1" t="n"/>
      <c r="E35" s="1" t="n"/>
      <c r="F35" s="1" t="n"/>
      <c r="G35" s="7">
        <f>IF(AND(C35&lt;&gt;"",D35&lt;&gt;""),(D35-C35),0)+IF(AND(E35&lt;&gt;"",F35&lt;&gt;""),(F35-E35),0)</f>
        <v/>
      </c>
      <c r="H35" s="8">
        <f>(G35*24)*$I$2</f>
        <v/>
      </c>
      <c r="K35" t="inlineStr">
        <is>
          <t>Pago</t>
        </is>
      </c>
    </row>
    <row r="36" ht="15.75" customHeight="1">
      <c r="A36" s="6" t="n">
        <v>46057</v>
      </c>
      <c r="B36" t="inlineStr">
        <is>
          <t>Quarta-feira</t>
        </is>
      </c>
      <c r="C36" s="9" t="n">
        <v>0.7256944444444444</v>
      </c>
      <c r="D36" s="9" t="n">
        <v>0.875</v>
      </c>
      <c r="E36" s="1" t="n"/>
      <c r="F36" s="1" t="n"/>
      <c r="G36" s="7">
        <f>IF(AND(C36&lt;&gt;"",D36&lt;&gt;""),(D36-C36),0)+IF(AND(E36&lt;&gt;"",F36&lt;&gt;""),(F36-E36),0)</f>
        <v/>
      </c>
      <c r="H36" s="8">
        <f>(G36*24)*$I$2</f>
        <v/>
      </c>
      <c r="K36" t="inlineStr">
        <is>
          <t>Pago</t>
        </is>
      </c>
    </row>
    <row r="37" ht="15.75" customHeight="1">
      <c r="A37" s="6" t="n">
        <v>46058</v>
      </c>
      <c r="B37" t="inlineStr">
        <is>
          <t>Quinta-feira</t>
        </is>
      </c>
      <c r="C37" s="9" t="n">
        <v>0.7118055555555556</v>
      </c>
      <c r="D37" s="9" t="n">
        <v>0.875</v>
      </c>
      <c r="E37" s="1" t="n"/>
      <c r="F37" s="1" t="n"/>
      <c r="G37" s="7">
        <f>IF(AND(C37&lt;&gt;"",D37&lt;&gt;""),(D37-C37),0)+IF(AND(E37&lt;&gt;"",F37&lt;&gt;""),(F37-E37),0)</f>
        <v/>
      </c>
      <c r="H37" s="8">
        <f>(G37*24)*$I$2</f>
        <v/>
      </c>
      <c r="K37" t="inlineStr">
        <is>
          <t>Pago</t>
        </is>
      </c>
    </row>
    <row r="38" ht="15.75" customHeight="1">
      <c r="A38" s="6" t="n">
        <v>46059</v>
      </c>
      <c r="B38" t="inlineStr">
        <is>
          <t>Sexta-feira</t>
        </is>
      </c>
      <c r="C38" s="9" t="n">
        <v>0.7083333333333334</v>
      </c>
      <c r="D38" s="9" t="n">
        <v>0.8854166666666666</v>
      </c>
      <c r="E38" s="1" t="n"/>
      <c r="F38" s="1" t="n"/>
      <c r="G38" s="7">
        <f>IF(AND(C38&lt;&gt;"",D38&lt;&gt;""),(D38-C38),0)+IF(AND(E38&lt;&gt;"",F38&lt;&gt;""),(F38-E38),0)</f>
        <v/>
      </c>
      <c r="H38" s="8">
        <f>(G38*24)*$I$2</f>
        <v/>
      </c>
      <c r="K38" t="inlineStr">
        <is>
          <t>Pago</t>
        </is>
      </c>
    </row>
    <row r="39" ht="15.75" customHeight="1">
      <c r="A39" s="6" t="n">
        <v>46060</v>
      </c>
      <c r="B39" t="inlineStr">
        <is>
          <t>Sábado</t>
        </is>
      </c>
      <c r="C39" s="9" t="n">
        <v>0.3645833333333333</v>
      </c>
      <c r="D39" s="9" t="n">
        <v>0.5</v>
      </c>
      <c r="E39" s="9" t="n">
        <v>0.5694444444444444</v>
      </c>
      <c r="F39" s="9" t="n">
        <v>0.875</v>
      </c>
      <c r="G39" s="7">
        <f>IF(AND(C39&lt;&gt;"",D39&lt;&gt;""),(D39-C39),0)+IF(AND(E39&lt;&gt;"",F39&lt;&gt;""),(F39-E39),0)</f>
        <v/>
      </c>
      <c r="H39" s="8">
        <f>(G39*24)*$I$2</f>
        <v/>
      </c>
      <c r="K39" t="inlineStr">
        <is>
          <t>Pago</t>
        </is>
      </c>
    </row>
    <row r="40" ht="15.75" customHeight="1">
      <c r="A40" s="6" t="n">
        <v>46061</v>
      </c>
      <c r="B40" t="inlineStr">
        <is>
          <t>Domingo</t>
        </is>
      </c>
      <c r="C40" s="1" t="n"/>
      <c r="D40" s="1" t="n"/>
      <c r="E40" s="1" t="n"/>
      <c r="F40" s="1" t="n"/>
      <c r="G40" s="7">
        <f>IF(AND(C40&lt;&gt;"",D40&lt;&gt;""),(D40-C40),0)+IF(AND(E40&lt;&gt;"",F40&lt;&gt;""),(F40-E40),0)</f>
        <v/>
      </c>
      <c r="H40" s="8">
        <f>(G40*24)*$I$2</f>
        <v/>
      </c>
      <c r="K40" t="inlineStr">
        <is>
          <t>Pago</t>
        </is>
      </c>
    </row>
    <row r="41" ht="15.75" customHeight="1">
      <c r="A41" s="6" t="n">
        <v>46062</v>
      </c>
      <c r="B41" t="inlineStr">
        <is>
          <t>Segunda-feira</t>
        </is>
      </c>
      <c r="C41" s="1" t="n"/>
      <c r="D41" s="1" t="n"/>
      <c r="E41" s="1" t="n"/>
      <c r="F41" s="1" t="n"/>
      <c r="G41" s="7">
        <f>IF(AND(C41&lt;&gt;"",D41&lt;&gt;""),(D41-C41),0)+IF(AND(E41&lt;&gt;"",F41&lt;&gt;""),(F41-E41),0)</f>
        <v/>
      </c>
      <c r="H41" s="8">
        <f>(G41*24)*$I$2</f>
        <v/>
      </c>
      <c r="K41" t="inlineStr">
        <is>
          <t>Pago</t>
        </is>
      </c>
    </row>
    <row r="42" ht="15.75" customHeight="1">
      <c r="A42" s="6" t="n">
        <v>46063</v>
      </c>
      <c r="B42" t="inlineStr">
        <is>
          <t>Terça-feira</t>
        </is>
      </c>
      <c r="C42" s="9" t="n">
        <v>0.7083333333333334</v>
      </c>
      <c r="D42" s="9" t="n">
        <v>0.9027777777777778</v>
      </c>
      <c r="E42" s="1" t="n"/>
      <c r="F42" s="1" t="n"/>
      <c r="G42" s="7">
        <f>IF(AND(C42&lt;&gt;"",D42&lt;&gt;""),(D42-C42),0)+IF(AND(E42&lt;&gt;"",F42&lt;&gt;""),(F42-E42),0)</f>
        <v/>
      </c>
      <c r="H42" s="8">
        <f>(G42*24)*$I$2</f>
        <v/>
      </c>
      <c r="K42" t="inlineStr">
        <is>
          <t>Pago</t>
        </is>
      </c>
    </row>
    <row r="43" ht="15.75" customHeight="1">
      <c r="A43" s="6" t="n">
        <v>46064</v>
      </c>
      <c r="B43" t="inlineStr">
        <is>
          <t>Quarta-feira</t>
        </is>
      </c>
      <c r="C43" s="9" t="n">
        <v>0.7083333333333334</v>
      </c>
      <c r="D43" s="9" t="n">
        <v>0.9201388888888888</v>
      </c>
      <c r="E43" s="1" t="n"/>
      <c r="F43" s="1" t="n"/>
      <c r="G43" s="7">
        <f>IF(AND(C43&lt;&gt;"",D43&lt;&gt;""),(D43-C43),0)+IF(AND(E43&lt;&gt;"",F43&lt;&gt;""),(F43-E43),0)</f>
        <v/>
      </c>
      <c r="H43" s="8">
        <f>(G43*24)*$I$2</f>
        <v/>
      </c>
      <c r="K43" t="inlineStr">
        <is>
          <t>Pago</t>
        </is>
      </c>
    </row>
    <row r="44" ht="15.75" customHeight="1">
      <c r="A44" s="6" t="n">
        <v>46065</v>
      </c>
      <c r="B44" t="inlineStr">
        <is>
          <t>Quinta-feira</t>
        </is>
      </c>
      <c r="C44" s="9" t="n">
        <v>0.7118055555555556</v>
      </c>
      <c r="D44" s="9" t="n">
        <v>0.8958333333333334</v>
      </c>
      <c r="E44" s="1" t="n"/>
      <c r="F44" s="1" t="n"/>
      <c r="G44" s="7">
        <f>IF(AND(C44&lt;&gt;"",D44&lt;&gt;""),(D44-C44),0)+IF(AND(E44&lt;&gt;"",F44&lt;&gt;""),(F44-E44),0)</f>
        <v/>
      </c>
      <c r="H44" s="8">
        <f>(G44*24)*$I$2</f>
        <v/>
      </c>
      <c r="K44" t="inlineStr">
        <is>
          <t>Pago</t>
        </is>
      </c>
    </row>
    <row r="45" ht="15.75" customHeight="1">
      <c r="A45" s="6" t="n">
        <v>46066</v>
      </c>
      <c r="B45" t="inlineStr">
        <is>
          <t>Sexta-feira</t>
        </is>
      </c>
      <c r="C45" s="9" t="n">
        <v>0.7118055555555556</v>
      </c>
      <c r="D45" s="9" t="n">
        <v>0.8923611111111112</v>
      </c>
      <c r="E45" s="1" t="n"/>
      <c r="F45" s="1" t="n"/>
      <c r="G45" s="7">
        <f>IF(AND(C45&lt;&gt;"",D45&lt;&gt;""),(D45-C45),0)+IF(AND(E45&lt;&gt;"",F45&lt;&gt;""),(F45-E45),0)</f>
        <v/>
      </c>
      <c r="H45" s="8">
        <f>(G45*24)*$I$2</f>
        <v/>
      </c>
      <c r="K45" t="inlineStr">
        <is>
          <t>Pago</t>
        </is>
      </c>
    </row>
    <row r="46" ht="15.75" customHeight="1">
      <c r="A46" s="6" t="n">
        <v>46067</v>
      </c>
      <c r="B46" t="inlineStr">
        <is>
          <t>Sábado</t>
        </is>
      </c>
      <c r="C46" s="9" t="n">
        <v>0.3680555555555556</v>
      </c>
      <c r="D46" s="9" t="n">
        <v>0.5</v>
      </c>
      <c r="E46" s="9" t="n">
        <v>0.5659722222222222</v>
      </c>
      <c r="F46" s="9" t="n">
        <v>0.875</v>
      </c>
      <c r="G46" s="7">
        <f>IF(AND(C46&lt;&gt;"",D46&lt;&gt;""),(D46-C46),0)+IF(AND(E46&lt;&gt;"",F46&lt;&gt;""),(F46-E46),0)</f>
        <v/>
      </c>
      <c r="H46" s="8">
        <f>(G46*24)*$I$2</f>
        <v/>
      </c>
      <c r="K46" t="inlineStr">
        <is>
          <t>Pago</t>
        </is>
      </c>
    </row>
    <row r="47" ht="15.75" customHeight="1">
      <c r="A47" s="6" t="n">
        <v>46068</v>
      </c>
      <c r="B47" t="inlineStr">
        <is>
          <t>Domingo</t>
        </is>
      </c>
      <c r="C47" s="1" t="n"/>
      <c r="D47" s="1" t="n"/>
      <c r="E47" s="1" t="n"/>
      <c r="F47" s="1" t="n"/>
      <c r="G47" s="7">
        <f>IF(AND(C47&lt;&gt;"",D47&lt;&gt;""),(D47-C47),0)+IF(AND(E47&lt;&gt;"",F47&lt;&gt;""),(F47-E47),0)</f>
        <v/>
      </c>
      <c r="H47" s="8">
        <f>(G47*24)*$I$2</f>
        <v/>
      </c>
      <c r="K47" t="inlineStr">
        <is>
          <t>Pago</t>
        </is>
      </c>
    </row>
    <row r="48" ht="15.75" customHeight="1">
      <c r="A48" s="6" t="n">
        <v>46069</v>
      </c>
      <c r="B48" t="inlineStr">
        <is>
          <t>Segunda-feira</t>
        </is>
      </c>
      <c r="C48" s="1" t="n"/>
      <c r="D48" s="1" t="n"/>
      <c r="E48" s="1" t="n"/>
      <c r="F48" s="1" t="n"/>
      <c r="G48" s="7">
        <f>IF(AND(C48&lt;&gt;"",D48&lt;&gt;""),(D48-C48),0)+IF(AND(E48&lt;&gt;"",F48&lt;&gt;""),(F48-E48),0)</f>
        <v/>
      </c>
      <c r="H48" s="8">
        <f>(G48*24)*$I$2</f>
        <v/>
      </c>
      <c r="K48" t="inlineStr">
        <is>
          <t>Pago</t>
        </is>
      </c>
    </row>
    <row r="49" ht="15.75" customHeight="1">
      <c r="A49" s="6" t="n">
        <v>46070</v>
      </c>
      <c r="B49" t="inlineStr">
        <is>
          <t>Terça-feira</t>
        </is>
      </c>
      <c r="C49" s="1" t="n"/>
      <c r="D49" s="1" t="n"/>
      <c r="E49" s="1" t="n"/>
      <c r="F49" s="1" t="n"/>
      <c r="G49" s="7">
        <f>IF(AND(C49&lt;&gt;"",D49&lt;&gt;""),(D49-C49),0)+IF(AND(E49&lt;&gt;"",F49&lt;&gt;""),(F49-E49),0)</f>
        <v/>
      </c>
      <c r="H49" s="8">
        <f>(G49*24)*$I$2</f>
        <v/>
      </c>
      <c r="K49" t="inlineStr">
        <is>
          <t>Pago</t>
        </is>
      </c>
    </row>
    <row r="50" ht="15.75" customHeight="1">
      <c r="A50" s="6" t="n">
        <v>46071</v>
      </c>
      <c r="B50" t="inlineStr">
        <is>
          <t>Quarta-feira</t>
        </is>
      </c>
      <c r="C50" s="1" t="n"/>
      <c r="D50" s="1" t="n"/>
      <c r="E50" s="1" t="n"/>
      <c r="F50" s="1" t="n"/>
      <c r="G50" s="7">
        <f>IF(AND(C50&lt;&gt;"",D50&lt;&gt;""),(D50-C50),0)+IF(AND(E50&lt;&gt;"",F50&lt;&gt;""),(F50-E50),0)</f>
        <v/>
      </c>
      <c r="H50" s="8">
        <f>(G50*24)*$I$2</f>
        <v/>
      </c>
      <c r="K50" t="inlineStr">
        <is>
          <t>Pago</t>
        </is>
      </c>
    </row>
    <row r="51" ht="15.75" customHeight="1">
      <c r="A51" s="6" t="n">
        <v>46072</v>
      </c>
      <c r="B51" t="inlineStr">
        <is>
          <t>Quinta-feira</t>
        </is>
      </c>
      <c r="C51" s="9" t="n">
        <v>0.7083333333333334</v>
      </c>
      <c r="D51" s="9" t="n">
        <v>0.875</v>
      </c>
      <c r="E51" s="1" t="n"/>
      <c r="F51" s="1" t="n"/>
      <c r="G51" s="7">
        <f>IF(AND(C51&lt;&gt;"",D51&lt;&gt;""),(D51-C51),0)+IF(AND(E51&lt;&gt;"",F51&lt;&gt;""),(F51-E51),0)</f>
        <v/>
      </c>
      <c r="H51" s="8">
        <f>(G51*24)*$I$2</f>
        <v/>
      </c>
      <c r="K51" t="inlineStr">
        <is>
          <t>Pago</t>
        </is>
      </c>
    </row>
    <row r="52" ht="15.75" customHeight="1">
      <c r="A52" s="6" t="n">
        <v>46073</v>
      </c>
      <c r="B52" t="inlineStr">
        <is>
          <t>Sexta-feira</t>
        </is>
      </c>
      <c r="C52" s="9" t="n">
        <v>0.7048611111111112</v>
      </c>
      <c r="D52" s="9" t="n">
        <v>0.8958333333333334</v>
      </c>
      <c r="E52" s="1" t="n"/>
      <c r="F52" s="1" t="n"/>
      <c r="G52" s="7">
        <f>IF(AND(C52&lt;&gt;"",D52&lt;&gt;""),(D52-C52),0)+IF(AND(E52&lt;&gt;"",F52&lt;&gt;""),(F52-E52),0)</f>
        <v/>
      </c>
      <c r="H52" s="8">
        <f>(G52*24)*$I$2</f>
        <v/>
      </c>
      <c r="K52" t="inlineStr">
        <is>
          <t>Pago</t>
        </is>
      </c>
    </row>
    <row r="53" ht="15.75" customHeight="1">
      <c r="A53" s="6" t="n">
        <v>46074</v>
      </c>
      <c r="B53" t="inlineStr">
        <is>
          <t>Sábado</t>
        </is>
      </c>
      <c r="C53" s="9" t="n">
        <v>0.3611111111111111</v>
      </c>
      <c r="D53" s="9" t="n">
        <v>0.5</v>
      </c>
      <c r="E53" s="9" t="n">
        <v>0.5694444444444444</v>
      </c>
      <c r="F53" s="9" t="n">
        <v>0.8854166666666666</v>
      </c>
      <c r="G53" s="7">
        <f>IF(AND(C53&lt;&gt;"",D53&lt;&gt;""),(D53-C53),0)+IF(AND(E53&lt;&gt;"",F53&lt;&gt;""),(F53-E53),0)</f>
        <v/>
      </c>
      <c r="H53" s="8">
        <f>(G53*24)*$I$2</f>
        <v/>
      </c>
      <c r="K53" t="inlineStr">
        <is>
          <t>Pago</t>
        </is>
      </c>
    </row>
    <row r="54" ht="15.75" customHeight="1">
      <c r="A54" s="6" t="n">
        <v>46075</v>
      </c>
      <c r="B54" t="inlineStr">
        <is>
          <t>Domingo</t>
        </is>
      </c>
      <c r="C54" s="1" t="n"/>
      <c r="D54" s="1" t="n"/>
      <c r="E54" s="1" t="n"/>
      <c r="F54" s="1" t="n"/>
      <c r="G54" s="7">
        <f>IF(AND(C54&lt;&gt;"",D54&lt;&gt;""),(D54-C54),0)+IF(AND(E54&lt;&gt;"",F54&lt;&gt;""),(F54-E54),0)</f>
        <v/>
      </c>
      <c r="H54" s="8">
        <f>(G54*24)*$I$2</f>
        <v/>
      </c>
      <c r="K54" t="inlineStr">
        <is>
          <t>Pago</t>
        </is>
      </c>
    </row>
    <row r="55" ht="15.75" customHeight="1">
      <c r="A55" s="6" t="n">
        <v>46076</v>
      </c>
      <c r="B55" t="inlineStr">
        <is>
          <t>Segunda-feira</t>
        </is>
      </c>
      <c r="C55" s="1" t="n"/>
      <c r="D55" s="1" t="n"/>
      <c r="E55" s="1" t="n"/>
      <c r="F55" s="1" t="n"/>
      <c r="G55" s="7">
        <f>IF(AND(C55&lt;&gt;"",D55&lt;&gt;""),(D55-C55),0)+IF(AND(E55&lt;&gt;"",F55&lt;&gt;""),(F55-E55),0)</f>
        <v/>
      </c>
      <c r="H55" s="8">
        <f>(G55*24)*$I$2</f>
        <v/>
      </c>
      <c r="K55" t="inlineStr">
        <is>
          <t>Pago</t>
        </is>
      </c>
    </row>
    <row r="56" ht="15.75" customHeight="1">
      <c r="A56" s="6" t="n">
        <v>46077</v>
      </c>
      <c r="B56" t="inlineStr">
        <is>
          <t>Terça-feira</t>
        </is>
      </c>
      <c r="C56" s="9" t="n">
        <v>0.6770833333333334</v>
      </c>
      <c r="D56" s="9" t="n">
        <v>0.9513888888888888</v>
      </c>
      <c r="E56" s="1" t="n"/>
      <c r="F56" s="1" t="n"/>
      <c r="G56" s="7">
        <f>IF(AND(C56&lt;&gt;"",D56&lt;&gt;""),(D56-C56),0)+IF(AND(E56&lt;&gt;"",F56&lt;&gt;""),(F56-E56),0)</f>
        <v/>
      </c>
      <c r="H56" s="8">
        <f>(G56*24)*$I$2</f>
        <v/>
      </c>
      <c r="K56" t="inlineStr">
        <is>
          <t>Pago</t>
        </is>
      </c>
    </row>
    <row r="57" ht="15.75" customHeight="1">
      <c r="A57" s="6" t="n">
        <v>46078</v>
      </c>
      <c r="B57" t="inlineStr">
        <is>
          <t>Quarta-feira</t>
        </is>
      </c>
      <c r="C57" s="9" t="n">
        <v>0.7048611111111112</v>
      </c>
      <c r="D57" s="9" t="n">
        <v>0.9375</v>
      </c>
      <c r="E57" s="1" t="n"/>
      <c r="F57" s="1" t="n"/>
      <c r="G57" s="7">
        <f>IF(AND(C57&lt;&gt;"",D57&lt;&gt;""),(D57-C57),0)+IF(AND(E57&lt;&gt;"",F57&lt;&gt;""),(F57-E57),0)</f>
        <v/>
      </c>
      <c r="H57" s="8">
        <f>(G57*24)*$I$2</f>
        <v/>
      </c>
      <c r="K57" t="inlineStr">
        <is>
          <t>Pago</t>
        </is>
      </c>
    </row>
    <row r="58" ht="15.75" customHeight="1">
      <c r="A58" s="6" t="n">
        <v>46079</v>
      </c>
      <c r="B58" t="inlineStr">
        <is>
          <t>Quinta-feira</t>
        </is>
      </c>
      <c r="C58" s="9" t="n">
        <v>0.7118055555555556</v>
      </c>
      <c r="D58" s="9" t="n">
        <v>0.90625</v>
      </c>
      <c r="E58" s="1" t="n"/>
      <c r="F58" s="1" t="n"/>
      <c r="G58" s="7">
        <f>IF(AND(C58&lt;&gt;"",D58&lt;&gt;""),(D58-C58),0)+IF(AND(E58&lt;&gt;"",F58&lt;&gt;""),(F58-E58),0)</f>
        <v/>
      </c>
      <c r="H58" s="8">
        <f>(G58*24)*$I$2</f>
        <v/>
      </c>
      <c r="K58" t="inlineStr">
        <is>
          <t>Pago</t>
        </is>
      </c>
    </row>
    <row r="59" ht="15.75" customHeight="1">
      <c r="A59" s="6" t="n">
        <v>46080</v>
      </c>
      <c r="B59" t="inlineStr">
        <is>
          <t>Sexta-feira</t>
        </is>
      </c>
      <c r="C59" s="9" t="n">
        <v>0.71875</v>
      </c>
      <c r="D59" s="9" t="n">
        <v>0.9555555555555556</v>
      </c>
      <c r="E59" s="1" t="n"/>
      <c r="F59" s="1" t="n"/>
      <c r="G59" s="7">
        <f>IF(AND(C59&lt;&gt;"",D59&lt;&gt;""),(D59-C59),0)+IF(AND(E59&lt;&gt;"",F59&lt;&gt;""),(F59-E59),0)</f>
        <v/>
      </c>
      <c r="H59" s="8">
        <f>(G59*24)*$I$2</f>
        <v/>
      </c>
      <c r="K59" t="inlineStr">
        <is>
          <t>Pago</t>
        </is>
      </c>
    </row>
    <row r="60" ht="15.75" customHeight="1">
      <c r="A60" s="6" t="n">
        <v>46081</v>
      </c>
      <c r="B60" t="inlineStr">
        <is>
          <t>Sábado</t>
        </is>
      </c>
      <c r="C60" s="9" t="n">
        <v>0.3680555555555556</v>
      </c>
      <c r="D60" s="9" t="n">
        <v>0.5</v>
      </c>
      <c r="E60" s="9" t="n">
        <v>0.5625</v>
      </c>
      <c r="F60" s="9" t="n">
        <v>0.9513888888888888</v>
      </c>
      <c r="G60" s="7">
        <f>IF(AND(C60&lt;&gt;"",D60&lt;&gt;""),(D60-C60),0)+IF(AND(E60&lt;&gt;"",F60&lt;&gt;""),(F60-E60),0)</f>
        <v/>
      </c>
      <c r="H60" s="8">
        <f>(G60*24)*$I$2</f>
        <v/>
      </c>
      <c r="K60" t="inlineStr">
        <is>
          <t>Pago</t>
        </is>
      </c>
    </row>
    <row r="61" ht="15.75" customHeight="1">
      <c r="A61" s="6" t="n">
        <v>46082</v>
      </c>
      <c r="B61" t="inlineStr">
        <is>
          <t>Domingo</t>
        </is>
      </c>
      <c r="C61" s="1" t="n"/>
      <c r="D61" s="1" t="n"/>
      <c r="E61" s="1" t="n"/>
      <c r="F61" s="1" t="n"/>
      <c r="G61" s="7">
        <f>IF(AND(C61&lt;&gt;"",D61&lt;&gt;""),(D61-C61),0)+IF(AND(E61&lt;&gt;"",F61&lt;&gt;""),(F61-E61),0)</f>
        <v/>
      </c>
      <c r="H61" s="8">
        <f>(G61*24)*$I$2</f>
        <v/>
      </c>
      <c r="K61" t="inlineStr">
        <is>
          <t>Pago</t>
        </is>
      </c>
    </row>
    <row r="62" ht="15.75" customHeight="1">
      <c r="A62" s="6" t="n">
        <v>46083</v>
      </c>
      <c r="B62" t="inlineStr">
        <is>
          <t>Segunda-feira</t>
        </is>
      </c>
      <c r="C62" s="1" t="n"/>
      <c r="D62" s="1" t="n"/>
      <c r="E62" s="1" t="n"/>
      <c r="F62" s="1" t="n"/>
      <c r="G62" s="7">
        <f>IF(AND(C62&lt;&gt;"",D62&lt;&gt;""),(D62-C62),0)+IF(AND(E62&lt;&gt;"",F62&lt;&gt;""),(F62-E62),0)</f>
        <v/>
      </c>
      <c r="H62" s="8">
        <f>(G62*24)*$I$2</f>
        <v/>
      </c>
      <c r="K62" t="inlineStr">
        <is>
          <t>Pago</t>
        </is>
      </c>
    </row>
    <row r="63" ht="15.75" customHeight="1">
      <c r="A63" s="6" t="n">
        <v>46084</v>
      </c>
      <c r="B63" t="inlineStr">
        <is>
          <t>Terça-feira</t>
        </is>
      </c>
      <c r="C63" s="9" t="n"/>
      <c r="D63" s="9" t="n"/>
      <c r="E63" s="1" t="n"/>
      <c r="F63" s="1" t="n"/>
      <c r="G63" s="7">
        <f>IF(AND(C63&lt;&gt;"",D63&lt;&gt;""),(D63-C63),0)+IF(AND(E63&lt;&gt;"",F63&lt;&gt;""),(F63-E63),0)</f>
        <v/>
      </c>
      <c r="H63" s="8">
        <f>(G63*24)*$I$2</f>
        <v/>
      </c>
      <c r="K63" t="inlineStr">
        <is>
          <t>Pago</t>
        </is>
      </c>
    </row>
    <row r="64" ht="15.75" customHeight="1">
      <c r="A64" s="6" t="n">
        <v>46085</v>
      </c>
      <c r="B64" t="inlineStr">
        <is>
          <t>Quarta-feira</t>
        </is>
      </c>
      <c r="C64" s="9" t="n">
        <v>0.71875</v>
      </c>
      <c r="D64" s="9" t="n">
        <v>0.8784722222222222</v>
      </c>
      <c r="E64" s="1" t="n"/>
      <c r="F64" s="1" t="n"/>
      <c r="G64" s="7">
        <f>IF(AND(C64&lt;&gt;"",D64&lt;&gt;""),(D64-C64),0)+IF(AND(E64&lt;&gt;"",F64&lt;&gt;""),(F64-E64),0)</f>
        <v/>
      </c>
      <c r="H64" s="8">
        <f>(G64*24)*$I$2</f>
        <v/>
      </c>
      <c r="K64" t="inlineStr">
        <is>
          <t>Pago</t>
        </is>
      </c>
    </row>
    <row r="65" ht="15.75" customHeight="1">
      <c r="A65" s="6" t="n">
        <v>46086</v>
      </c>
      <c r="B65" t="inlineStr">
        <is>
          <t>Quinta-feira</t>
        </is>
      </c>
      <c r="C65" s="9" t="n">
        <v>0.7152777777777778</v>
      </c>
      <c r="D65" s="9" t="n">
        <v>0.8819444444444444</v>
      </c>
      <c r="E65" s="1" t="n"/>
      <c r="F65" s="1" t="n"/>
      <c r="G65" s="7">
        <f>IF(AND(C65&lt;&gt;"",D65&lt;&gt;""),(D65-C65),0)+IF(AND(E65&lt;&gt;"",F65&lt;&gt;""),(F65-E65),0)</f>
        <v/>
      </c>
      <c r="H65" s="8">
        <f>(G65*24)*$I$2</f>
        <v/>
      </c>
      <c r="K65" t="inlineStr">
        <is>
          <t>Pago</t>
        </is>
      </c>
    </row>
    <row r="66" ht="15.75" customHeight="1">
      <c r="A66" s="6" t="n">
        <v>46087</v>
      </c>
      <c r="B66" t="inlineStr">
        <is>
          <t>Sexta-feira</t>
        </is>
      </c>
      <c r="C66" s="9" t="n">
        <v>0.7277777777777777</v>
      </c>
      <c r="D66" s="9" t="n">
        <v>0.875</v>
      </c>
      <c r="E66" s="1" t="n"/>
      <c r="F66" s="1" t="n"/>
      <c r="G66" s="7">
        <f>IF(AND(C66&lt;&gt;"",D66&lt;&gt;""),(D66-C66),0)+IF(AND(E66&lt;&gt;"",F66&lt;&gt;""),(F66-E66),0)</f>
        <v/>
      </c>
      <c r="H66" s="8">
        <f>(G66*24)*$I$2</f>
        <v/>
      </c>
      <c r="K66" t="inlineStr">
        <is>
          <t>Pago</t>
        </is>
      </c>
    </row>
    <row r="67" ht="15.75" customHeight="1">
      <c r="A67" s="6" t="n">
        <v>46088</v>
      </c>
      <c r="B67" t="inlineStr">
        <is>
          <t>Sábado</t>
        </is>
      </c>
      <c r="C67" s="9" t="n">
        <v>0.3784722222222222</v>
      </c>
      <c r="D67" s="9" t="n">
        <v>0.5</v>
      </c>
      <c r="E67" s="9" t="n">
        <v>0.5729166666666666</v>
      </c>
      <c r="F67" s="9" t="n">
        <v>0.9152777777777777</v>
      </c>
      <c r="G67" s="7">
        <f>IF(AND(C67&lt;&gt;"",D67&lt;&gt;""),(D67-C67),0)+IF(AND(E67&lt;&gt;"",F67&lt;&gt;""),(F67-E67),0)</f>
        <v/>
      </c>
      <c r="H67" s="8">
        <f>(G67*24)*$I$2</f>
        <v/>
      </c>
      <c r="K67" t="inlineStr">
        <is>
          <t>Pago</t>
        </is>
      </c>
    </row>
    <row r="68" ht="15.75" customHeight="1">
      <c r="A68" s="6" t="n">
        <v>46089</v>
      </c>
      <c r="B68" t="inlineStr">
        <is>
          <t>Domingo</t>
        </is>
      </c>
      <c r="C68" s="1" t="n"/>
      <c r="D68" s="1" t="n"/>
      <c r="E68" s="1" t="n"/>
      <c r="F68" s="1" t="n"/>
      <c r="G68" s="7">
        <f>IF(AND(C68&lt;&gt;"",D68&lt;&gt;""),(D68-C68),0)+IF(AND(E68&lt;&gt;"",F68&lt;&gt;""),(F68-E68),0)</f>
        <v/>
      </c>
      <c r="H68" s="8">
        <f>(G68*24)*$I$2</f>
        <v/>
      </c>
      <c r="K68" t="inlineStr">
        <is>
          <t>Pago</t>
        </is>
      </c>
    </row>
    <row r="69" ht="15.75" customHeight="1">
      <c r="A69" s="6" t="n">
        <v>46090</v>
      </c>
      <c r="B69" t="inlineStr">
        <is>
          <t>Segunda-feira</t>
        </is>
      </c>
      <c r="C69" s="1" t="n"/>
      <c r="D69" s="1" t="n"/>
      <c r="E69" s="1" t="n"/>
      <c r="F69" s="1" t="n"/>
      <c r="G69" s="7">
        <f>IF(AND(C69&lt;&gt;"",D69&lt;&gt;""),(D69-C69),0)+IF(AND(E69&lt;&gt;"",F69&lt;&gt;""),(F69-E69),0)</f>
        <v/>
      </c>
      <c r="H69" s="8">
        <f>(G69*24)*$I$2</f>
        <v/>
      </c>
      <c r="K69" t="inlineStr">
        <is>
          <t>Pago</t>
        </is>
      </c>
    </row>
    <row r="70" ht="15.75" customHeight="1">
      <c r="A70" s="6" t="n">
        <v>46091</v>
      </c>
      <c r="B70" t="inlineStr">
        <is>
          <t>Terça-feira</t>
        </is>
      </c>
      <c r="C70" s="9" t="n">
        <v>0.7291666666666666</v>
      </c>
      <c r="D70" s="9" t="n">
        <v>0.9375</v>
      </c>
      <c r="E70" s="1" t="n"/>
      <c r="F70" s="1" t="n"/>
      <c r="G70" s="7">
        <f>IF(AND(C70&lt;&gt;"",D70&lt;&gt;""),(D70-C70),0)+IF(AND(E70&lt;&gt;"",F70&lt;&gt;""),(F70-E70),0)</f>
        <v/>
      </c>
      <c r="H70" s="8">
        <f>(G70*24)*$I$2</f>
        <v/>
      </c>
      <c r="K70" t="inlineStr">
        <is>
          <t>Pago</t>
        </is>
      </c>
    </row>
    <row r="71" ht="15.75" customHeight="1">
      <c r="A71" s="6" t="n">
        <v>46092</v>
      </c>
      <c r="B71" t="inlineStr">
        <is>
          <t>Quarta-feira</t>
        </is>
      </c>
      <c r="C71" s="9" t="n">
        <v>0.7291666666666666</v>
      </c>
      <c r="D71" s="9" t="n">
        <v>0.9236111111111112</v>
      </c>
      <c r="E71" s="1" t="n"/>
      <c r="F71" s="1" t="n"/>
      <c r="G71" s="7">
        <f>IF(AND(C71&lt;&gt;"",D71&lt;&gt;""),(D71-C71),0)+IF(AND(E71&lt;&gt;"",F71&lt;&gt;""),(F71-E71),0)</f>
        <v/>
      </c>
      <c r="H71" s="8">
        <f>(G71*24)*$I$2</f>
        <v/>
      </c>
      <c r="K71" t="inlineStr">
        <is>
          <t>Pago</t>
        </is>
      </c>
    </row>
    <row r="72" ht="15.75" customHeight="1">
      <c r="A72" s="6" t="n">
        <v>46093</v>
      </c>
      <c r="B72" t="inlineStr">
        <is>
          <t>Quinta-feira</t>
        </is>
      </c>
      <c r="C72" s="9" t="n">
        <v>0.7222222222222222</v>
      </c>
      <c r="D72" s="9" t="n">
        <v>0.8784722222222222</v>
      </c>
      <c r="E72" s="1" t="n"/>
      <c r="F72" s="1" t="n"/>
      <c r="G72" s="7">
        <f>IF(AND(C72&lt;&gt;"",D72&lt;&gt;""),(D72-C72),0)+IF(AND(E72&lt;&gt;"",F72&lt;&gt;""),(F72-E72),0)</f>
        <v/>
      </c>
      <c r="H72" s="8">
        <f>(G72*24)*$I$2</f>
        <v/>
      </c>
      <c r="K72" t="inlineStr">
        <is>
          <t>Pago</t>
        </is>
      </c>
    </row>
    <row r="73" ht="15.75" customHeight="1">
      <c r="A73" s="6" t="n">
        <v>46094</v>
      </c>
      <c r="B73" t="inlineStr">
        <is>
          <t>Sexta-feira</t>
        </is>
      </c>
      <c r="C73" s="9" t="n">
        <v>0.7291666666666666</v>
      </c>
      <c r="D73" s="9" t="n">
        <v>0.9166666666666666</v>
      </c>
      <c r="E73" s="1" t="n"/>
      <c r="F73" s="1" t="n"/>
      <c r="G73" s="7">
        <f>IF(AND(C73&lt;&gt;"",D73&lt;&gt;""),(D73-C73),0)+IF(AND(E73&lt;&gt;"",F73&lt;&gt;""),(F73-E73),0)</f>
        <v/>
      </c>
      <c r="H73" s="8">
        <f>(G73*24)*$I$2</f>
        <v/>
      </c>
      <c r="K73" t="inlineStr">
        <is>
          <t>Pago</t>
        </is>
      </c>
    </row>
    <row r="74" ht="15.75" customHeight="1">
      <c r="A74" s="6" t="n">
        <v>46095</v>
      </c>
      <c r="B74" t="inlineStr">
        <is>
          <t>Sábado</t>
        </is>
      </c>
      <c r="C74" s="9" t="n">
        <v>0.3611111111111111</v>
      </c>
      <c r="D74" s="9" t="n">
        <v>0.5034722222222222</v>
      </c>
      <c r="E74" s="9" t="n">
        <v>0.5625</v>
      </c>
      <c r="F74" s="9" t="n">
        <v>0.875</v>
      </c>
      <c r="G74" s="7">
        <f>IF(AND(C74&lt;&gt;"",D74&lt;&gt;""),(D74-C74),0)+IF(AND(E74&lt;&gt;"",F74&lt;&gt;""),(F74-E74),0)</f>
        <v/>
      </c>
      <c r="H74" s="8">
        <f>(G74*24)*$I$2</f>
        <v/>
      </c>
      <c r="K74" t="inlineStr">
        <is>
          <t>Pago</t>
        </is>
      </c>
    </row>
    <row r="75" ht="15.75" customHeight="1">
      <c r="A75" s="6" t="n">
        <v>46096</v>
      </c>
      <c r="B75" t="inlineStr">
        <is>
          <t>Domingo</t>
        </is>
      </c>
      <c r="C75" s="1" t="n"/>
      <c r="D75" s="1" t="n"/>
      <c r="E75" s="1" t="n"/>
      <c r="F75" s="1" t="n"/>
      <c r="G75" s="7">
        <f>IF(AND(C75&lt;&gt;"",D75&lt;&gt;""),(D75-C75),0)+IF(AND(E75&lt;&gt;"",F75&lt;&gt;""),(F75-E75),0)</f>
        <v/>
      </c>
      <c r="H75" s="8">
        <f>(G75*24)*$I$2</f>
        <v/>
      </c>
      <c r="K75" t="inlineStr">
        <is>
          <t>Pago</t>
        </is>
      </c>
    </row>
    <row r="76" ht="15.75" customHeight="1">
      <c r="A76" s="6" t="n">
        <v>46097</v>
      </c>
      <c r="B76" t="inlineStr">
        <is>
          <t>Segunda-feira</t>
        </is>
      </c>
      <c r="C76" s="9" t="n"/>
      <c r="D76" s="9" t="n"/>
      <c r="E76" s="1" t="n"/>
      <c r="F76" s="1" t="n"/>
      <c r="G76" s="7">
        <f>IF(AND(C76&lt;&gt;"",D76&lt;&gt;""),(D76-C76),0)+IF(AND(E76&lt;&gt;"",F76&lt;&gt;""),(F76-E76),0)</f>
        <v/>
      </c>
      <c r="H76" s="8">
        <f>(G76*24)*$I$2</f>
        <v/>
      </c>
      <c r="K76" t="inlineStr">
        <is>
          <t>Pago</t>
        </is>
      </c>
    </row>
    <row r="77" ht="15.75" customHeight="1">
      <c r="A77" s="6" t="n">
        <v>46098</v>
      </c>
      <c r="B77" t="inlineStr">
        <is>
          <t>Terça-feira</t>
        </is>
      </c>
      <c r="C77" s="9" t="n">
        <v>0.7256944444444444</v>
      </c>
      <c r="D77" s="9" t="n">
        <v>0.9131944444444444</v>
      </c>
      <c r="E77" s="1" t="n"/>
      <c r="F77" s="1" t="n"/>
      <c r="G77" s="7">
        <f>IF(AND(C77&lt;&gt;"",D77&lt;&gt;""),(D77-C77),0)+IF(AND(E77&lt;&gt;"",F77&lt;&gt;""),(F77-E77),0)</f>
        <v/>
      </c>
      <c r="H77" s="8">
        <f>(G77*24)*$I$2</f>
        <v/>
      </c>
      <c r="K77" t="inlineStr">
        <is>
          <t>Pago</t>
        </is>
      </c>
    </row>
    <row r="78" ht="15.75" customHeight="1">
      <c r="A78" s="6" t="n">
        <v>46099</v>
      </c>
      <c r="B78" t="inlineStr">
        <is>
          <t>Quarta-feira</t>
        </is>
      </c>
      <c r="C78" s="9" t="n">
        <v>0.71875</v>
      </c>
      <c r="D78" s="9" t="n">
        <v>0.8923611111111112</v>
      </c>
      <c r="E78" s="1" t="n"/>
      <c r="F78" s="1" t="n"/>
      <c r="G78" s="7">
        <f>IF(AND(C78&lt;&gt;"",D78&lt;&gt;""),(D78-C78),0)+IF(AND(E78&lt;&gt;"",F78&lt;&gt;""),(F78-E78),0)</f>
        <v/>
      </c>
      <c r="H78" s="8">
        <f>(G78*24)*$I$2</f>
        <v/>
      </c>
      <c r="K78" t="inlineStr">
        <is>
          <t>Pago</t>
        </is>
      </c>
    </row>
    <row r="79" ht="15.75" customHeight="1">
      <c r="A79" s="6" t="n">
        <v>46100</v>
      </c>
      <c r="B79" t="inlineStr">
        <is>
          <t>Quinta-feira</t>
        </is>
      </c>
      <c r="C79" s="9" t="n">
        <v>0.7222222222222222</v>
      </c>
      <c r="D79" s="9" t="n">
        <v>0.8888888888888888</v>
      </c>
      <c r="E79" s="1" t="n"/>
      <c r="F79" s="1" t="n"/>
      <c r="G79" s="7">
        <f>IF(AND(C79&lt;&gt;"",D79&lt;&gt;""),(D79-C79),0)+IF(AND(E79&lt;&gt;"",F79&lt;&gt;""),(F79-E79),0)</f>
        <v/>
      </c>
      <c r="H79" s="8">
        <f>(G79*24)*$I$2</f>
        <v/>
      </c>
      <c r="K79" t="inlineStr">
        <is>
          <t>Pago</t>
        </is>
      </c>
    </row>
    <row r="80" ht="15.75" customHeight="1">
      <c r="A80" s="6" t="n">
        <v>46101</v>
      </c>
      <c r="B80" t="inlineStr">
        <is>
          <t>Sexta-feira</t>
        </is>
      </c>
      <c r="C80" s="9" t="n">
        <v>0.7256944444444444</v>
      </c>
      <c r="D80" s="9" t="n">
        <v>0.9236111111111112</v>
      </c>
      <c r="E80" s="1" t="n"/>
      <c r="F80" s="1" t="n"/>
      <c r="G80" s="7">
        <f>IF(AND(C80&lt;&gt;"",D80&lt;&gt;""),(D80-C80),0)+IF(AND(E80&lt;&gt;"",F80&lt;&gt;""),(F80-E80),0)</f>
        <v/>
      </c>
      <c r="H80" s="8">
        <f>(G80*24)*$I$2</f>
        <v/>
      </c>
      <c r="K80" t="inlineStr">
        <is>
          <t>Pago</t>
        </is>
      </c>
    </row>
    <row r="81" ht="15.75" customHeight="1">
      <c r="A81" s="6" t="n">
        <v>46102</v>
      </c>
      <c r="B81" t="inlineStr">
        <is>
          <t>Sábado</t>
        </is>
      </c>
      <c r="C81" s="9" t="n">
        <v>0.3611111111111111</v>
      </c>
      <c r="D81" s="9" t="n">
        <v>0.5</v>
      </c>
      <c r="E81" s="9" t="n">
        <v>0.5659722222222222</v>
      </c>
      <c r="F81" s="9" t="n">
        <v>0.9166666666666666</v>
      </c>
      <c r="G81" s="7">
        <f>IF(AND(C81&lt;&gt;"",D81&lt;&gt;""),(D81-C81),0)+IF(AND(E81&lt;&gt;"",F81&lt;&gt;""),(F81-E81),0)</f>
        <v/>
      </c>
      <c r="H81" s="8">
        <f>(G81*24)*$I$2</f>
        <v/>
      </c>
      <c r="K81" t="inlineStr">
        <is>
          <t>Pago</t>
        </is>
      </c>
    </row>
    <row r="82" ht="15.75" customHeight="1">
      <c r="A82" s="6" t="n">
        <v>46103</v>
      </c>
      <c r="B82" t="inlineStr">
        <is>
          <t>Domingo</t>
        </is>
      </c>
      <c r="C82" s="1" t="n"/>
      <c r="D82" s="1" t="n"/>
      <c r="E82" s="1" t="n"/>
      <c r="F82" s="1" t="n"/>
      <c r="G82" s="7">
        <f>IF(AND(C82&lt;&gt;"",D82&lt;&gt;""),(D82-C82),0)+IF(AND(E82&lt;&gt;"",F82&lt;&gt;""),(F82-E82),0)</f>
        <v/>
      </c>
      <c r="H82" s="8">
        <f>(G82*24)*$I$2</f>
        <v/>
      </c>
      <c r="K82" t="inlineStr">
        <is>
          <t>Pago</t>
        </is>
      </c>
    </row>
    <row r="83" ht="15.75" customHeight="1">
      <c r="A83" s="6" t="n">
        <v>46104</v>
      </c>
      <c r="B83" t="inlineStr">
        <is>
          <t>Segunda-feira</t>
        </is>
      </c>
      <c r="C83" s="1" t="n"/>
      <c r="D83" s="1" t="n"/>
      <c r="E83" s="1" t="n"/>
      <c r="F83" s="1" t="n"/>
      <c r="G83" s="7">
        <f>IF(AND(C83&lt;&gt;"",D83&lt;&gt;""),(D83-C83),0)+IF(AND(E83&lt;&gt;"",F83&lt;&gt;""),(F83-E83),0)</f>
        <v/>
      </c>
      <c r="H83" s="8">
        <f>(G83*24)*$I$2</f>
        <v/>
      </c>
      <c r="K83" t="inlineStr">
        <is>
          <t>Pago</t>
        </is>
      </c>
    </row>
    <row r="84" ht="15.75" customHeight="1">
      <c r="A84" s="6" t="n">
        <v>46105</v>
      </c>
      <c r="B84" t="inlineStr">
        <is>
          <t>Terça-feira</t>
        </is>
      </c>
      <c r="C84" s="9" t="n">
        <v>0.7361111111111112</v>
      </c>
      <c r="D84" s="9" t="n">
        <v>0.8854166666666666</v>
      </c>
      <c r="E84" s="1" t="n"/>
      <c r="F84" s="1" t="n"/>
      <c r="G84" s="7">
        <f>IF(AND(C84&lt;&gt;"",D84&lt;&gt;""),(D84-C84),0)+IF(AND(E84&lt;&gt;"",F84&lt;&gt;""),(F84-E84),0)</f>
        <v/>
      </c>
      <c r="H84" s="8">
        <f>(G84*24)*$I$2</f>
        <v/>
      </c>
      <c r="K84" t="inlineStr">
        <is>
          <t>Pago</t>
        </is>
      </c>
    </row>
    <row r="85" ht="15.75" customHeight="1">
      <c r="A85" s="6" t="n">
        <v>46106</v>
      </c>
      <c r="B85" t="inlineStr">
        <is>
          <t>Quarta-feira</t>
        </is>
      </c>
      <c r="C85" s="9" t="n">
        <v>0.7291666666666666</v>
      </c>
      <c r="D85" s="9" t="n">
        <v>0.8888888888888888</v>
      </c>
      <c r="E85" s="1" t="n"/>
      <c r="F85" s="1" t="n"/>
      <c r="G85" s="7">
        <f>IF(AND(C85&lt;&gt;"",D85&lt;&gt;""),(D85-C85),0)+IF(AND(E85&lt;&gt;"",F85&lt;&gt;""),(F85-E85),0)</f>
        <v/>
      </c>
      <c r="H85" s="8">
        <f>(G85*24)*$I$2</f>
        <v/>
      </c>
      <c r="K85" t="inlineStr">
        <is>
          <t>Pago</t>
        </is>
      </c>
    </row>
    <row r="86" ht="15.75" customHeight="1">
      <c r="A86" s="6" t="n">
        <v>46107</v>
      </c>
      <c r="B86" t="inlineStr">
        <is>
          <t>Quinta-feira</t>
        </is>
      </c>
      <c r="C86" s="9" t="n">
        <v>0.7201388888888889</v>
      </c>
      <c r="D86" s="9" t="n">
        <v>0.875</v>
      </c>
      <c r="E86" s="1" t="n"/>
      <c r="F86" s="1" t="n"/>
      <c r="G86" s="7">
        <f>IF(AND(C86&lt;&gt;"",D86&lt;&gt;""),(D86-C86),0)+IF(AND(E86&lt;&gt;"",F86&lt;&gt;""),(F86-E86),0)</f>
        <v/>
      </c>
      <c r="H86" s="8">
        <f>(G86*24)*$I$2</f>
        <v/>
      </c>
      <c r="K86" t="inlineStr">
        <is>
          <t>Pago</t>
        </is>
      </c>
    </row>
    <row r="87" ht="15.75" customHeight="1">
      <c r="A87" s="6" t="n">
        <v>46108</v>
      </c>
      <c r="B87" t="inlineStr">
        <is>
          <t>Sexta-feira</t>
        </is>
      </c>
      <c r="C87" s="9" t="n">
        <v>0.7256944444444444</v>
      </c>
      <c r="D87" s="9" t="n">
        <v>0.8993055555555556</v>
      </c>
      <c r="E87" s="1" t="n"/>
      <c r="F87" s="1" t="n"/>
      <c r="G87" s="7">
        <f>IF(AND(C87&lt;&gt;"",D87&lt;&gt;""),(D87-C87),0)+IF(AND(E87&lt;&gt;"",F87&lt;&gt;""),(F87-E87),0)</f>
        <v/>
      </c>
      <c r="H87" s="8">
        <f>(G87*24)*$I$2</f>
        <v/>
      </c>
      <c r="K87" t="inlineStr">
        <is>
          <t>Pago</t>
        </is>
      </c>
    </row>
    <row r="88" ht="15.75" customHeight="1">
      <c r="A88" s="6" t="n">
        <v>46109</v>
      </c>
      <c r="B88" t="inlineStr">
        <is>
          <t>Sábado</t>
        </is>
      </c>
      <c r="C88" s="9" t="n">
        <v>0.3645833333333333</v>
      </c>
      <c r="D88" s="9" t="n">
        <v>0.5</v>
      </c>
      <c r="E88" s="9" t="n">
        <v>0.5673611111111111</v>
      </c>
      <c r="F88" s="9" t="n">
        <v>0.875</v>
      </c>
      <c r="G88" s="7">
        <f>IF(AND(C88&lt;&gt;"",D88&lt;&gt;""),(D88-C88),0)+IF(AND(E88&lt;&gt;"",F88&lt;&gt;""),(F88-E88),0)</f>
        <v/>
      </c>
      <c r="H88" s="8">
        <f>(G88*24)*$I$2</f>
        <v/>
      </c>
      <c r="K88" t="inlineStr">
        <is>
          <t>Pago</t>
        </is>
      </c>
    </row>
    <row r="89" ht="15.75" customHeight="1">
      <c r="A89" s="6" t="n">
        <v>46110</v>
      </c>
      <c r="B89" t="inlineStr">
        <is>
          <t>Domingo</t>
        </is>
      </c>
      <c r="C89" s="1" t="n"/>
      <c r="D89" s="1" t="n"/>
      <c r="E89" s="1" t="n"/>
      <c r="F89" s="1" t="n"/>
      <c r="G89" s="7">
        <f>IF(AND(C89&lt;&gt;"",D89&lt;&gt;""),(D89-C89),0)+IF(AND(E89&lt;&gt;"",F89&lt;&gt;""),(F89-E89),0)</f>
        <v/>
      </c>
      <c r="H89" s="8">
        <f>(G89*24)*$I$2</f>
        <v/>
      </c>
      <c r="K89" t="inlineStr">
        <is>
          <t>Pago</t>
        </is>
      </c>
    </row>
    <row r="90" ht="15.75" customHeight="1">
      <c r="A90" s="6" t="n">
        <v>46111</v>
      </c>
      <c r="B90" t="inlineStr">
        <is>
          <t>Segunda-feira</t>
        </is>
      </c>
      <c r="C90" s="1" t="n"/>
      <c r="D90" s="1" t="n"/>
      <c r="E90" s="1" t="n"/>
      <c r="F90" s="1" t="n"/>
      <c r="G90" s="7">
        <f>IF(AND(C90&lt;&gt;"",D90&lt;&gt;""),(D90-C90),0)+IF(AND(E90&lt;&gt;"",F90&lt;&gt;""),(F90-E90),0)</f>
        <v/>
      </c>
      <c r="H90" s="8">
        <f>(G90*24)*$I$2</f>
        <v/>
      </c>
      <c r="K90" t="inlineStr">
        <is>
          <t>Pago</t>
        </is>
      </c>
    </row>
    <row r="91" ht="15.75" customHeight="1">
      <c r="A91" s="6" t="n">
        <v>46112</v>
      </c>
      <c r="B91" t="inlineStr">
        <is>
          <t>Terça-feira</t>
        </is>
      </c>
      <c r="C91" s="9" t="n">
        <v>0.6909722222222222</v>
      </c>
      <c r="D91" s="9" t="n">
        <v>0.9201388888888888</v>
      </c>
      <c r="E91" s="1" t="n"/>
      <c r="F91" s="1" t="n"/>
      <c r="G91" s="7">
        <f>IF(AND(C91&lt;&gt;"",D91&lt;&gt;""),(D91-C91),0)+IF(AND(E91&lt;&gt;"",F91&lt;&gt;""),(F91-E91),0)</f>
        <v/>
      </c>
      <c r="H91" s="8">
        <f>(G91*24)*$I$2</f>
        <v/>
      </c>
      <c r="K91" t="inlineStr">
        <is>
          <t>Pago</t>
        </is>
      </c>
    </row>
    <row r="92" ht="15.75" customHeight="1">
      <c r="A92" s="6" t="n">
        <v>46113</v>
      </c>
      <c r="B92" t="inlineStr">
        <is>
          <t>Quarta-feira</t>
        </is>
      </c>
      <c r="C92" s="9" t="n">
        <v>0.7152777777777778</v>
      </c>
      <c r="D92" s="9" t="n">
        <v>0.875</v>
      </c>
      <c r="E92" s="1" t="n"/>
      <c r="F92" s="1" t="n"/>
      <c r="G92" s="7">
        <f>IF(AND(C92&lt;&gt;"",D92&lt;&gt;""),(D92-C92),0)+IF(AND(E92&lt;&gt;"",F92&lt;&gt;""),(F92-E92),0)</f>
        <v/>
      </c>
      <c r="H92" s="8">
        <f>(G92*24)*$I$2</f>
        <v/>
      </c>
      <c r="K92" t="inlineStr">
        <is>
          <t>Pago</t>
        </is>
      </c>
    </row>
    <row r="93" ht="15.75" customHeight="1">
      <c r="A93" s="6" t="n">
        <v>46114</v>
      </c>
      <c r="B93" t="inlineStr">
        <is>
          <t>Quinta-feira</t>
        </is>
      </c>
      <c r="C93" s="9" t="n">
        <v>0.7201388888888889</v>
      </c>
      <c r="D93" s="9" t="n">
        <v>0.8805555555555555</v>
      </c>
      <c r="E93" s="1" t="n"/>
      <c r="F93" s="1" t="n"/>
      <c r="G93" s="7">
        <f>IF(AND(C93&lt;&gt;"",D93&lt;&gt;""),(D93-C93),0)+IF(AND(E93&lt;&gt;"",F93&lt;&gt;""),(F93-E93),0)</f>
        <v/>
      </c>
      <c r="H93" s="8">
        <f>(G93*24)*$I$2</f>
        <v/>
      </c>
      <c r="K93" t="inlineStr">
        <is>
          <t>Pago</t>
        </is>
      </c>
    </row>
    <row r="94" ht="15.75" customHeight="1">
      <c r="A94" s="6" t="n">
        <v>46115</v>
      </c>
      <c r="B94" t="inlineStr">
        <is>
          <t>Sexta-feira</t>
        </is>
      </c>
      <c r="C94" s="9" t="n"/>
      <c r="D94" s="9" t="n"/>
      <c r="E94" s="1" t="n"/>
      <c r="F94" s="1" t="n"/>
      <c r="G94" s="7">
        <f>IF(AND(C94&lt;&gt;"",D94&lt;&gt;""),(D94-C94),0)+IF(AND(E94&lt;&gt;"",F94&lt;&gt;""),(F94-E94),0)</f>
        <v/>
      </c>
      <c r="H94" s="8">
        <f>(G94*24)*$I$2</f>
        <v/>
      </c>
      <c r="K94" t="inlineStr">
        <is>
          <t>Pago</t>
        </is>
      </c>
    </row>
    <row r="95" ht="15.75" customHeight="1">
      <c r="A95" s="6" t="n">
        <v>46116</v>
      </c>
      <c r="B95" t="inlineStr">
        <is>
          <t>Sábado</t>
        </is>
      </c>
      <c r="C95" s="9" t="n"/>
      <c r="D95" s="9" t="n"/>
      <c r="E95" s="1" t="n"/>
      <c r="F95" s="1" t="n"/>
      <c r="G95" s="7">
        <f>IF(AND(C95&lt;&gt;"",D95&lt;&gt;""),(D95-C95),0)+IF(AND(E95&lt;&gt;"",F95&lt;&gt;""),(F95-E95),0)</f>
        <v/>
      </c>
      <c r="H95" s="8">
        <f>(G95*24)*$I$2</f>
        <v/>
      </c>
      <c r="K95" t="inlineStr">
        <is>
          <t>Pago</t>
        </is>
      </c>
    </row>
    <row r="96" ht="15.75" customHeight="1">
      <c r="A96" s="6" t="n">
        <v>46117</v>
      </c>
      <c r="B96" t="inlineStr">
        <is>
          <t>Domingo</t>
        </is>
      </c>
      <c r="C96" s="1" t="n"/>
      <c r="D96" s="1" t="n"/>
      <c r="E96" s="1" t="n"/>
      <c r="F96" s="1" t="n"/>
      <c r="G96" s="7">
        <f>IF(AND(C96&lt;&gt;"",D96&lt;&gt;""),(D96-C96),0)+IF(AND(E96&lt;&gt;"",F96&lt;&gt;""),(F96-E96),0)</f>
        <v/>
      </c>
      <c r="H96" s="8">
        <f>(G96*24)*$I$2</f>
        <v/>
      </c>
      <c r="K96" t="inlineStr">
        <is>
          <t>Pago</t>
        </is>
      </c>
    </row>
    <row r="97" ht="15.75" customHeight="1">
      <c r="A97" s="6" t="n">
        <v>46118</v>
      </c>
      <c r="B97" t="inlineStr">
        <is>
          <t>Segunda-feira</t>
        </is>
      </c>
      <c r="C97" s="1" t="n"/>
      <c r="D97" s="1" t="n"/>
      <c r="E97" s="1" t="n"/>
      <c r="F97" s="1" t="n"/>
      <c r="G97" s="7">
        <f>IF(AND(C97&lt;&gt;"",D97&lt;&gt;""),(D97-C97),0)+IF(AND(E97&lt;&gt;"",F97&lt;&gt;""),(F97-E97),0)</f>
        <v/>
      </c>
      <c r="H97" s="8">
        <f>(G97*24)*$I$2</f>
        <v/>
      </c>
      <c r="K97" t="inlineStr">
        <is>
          <t>Pago</t>
        </is>
      </c>
    </row>
    <row r="98" ht="15.75" customHeight="1">
      <c r="A98" s="6" t="n">
        <v>46119</v>
      </c>
      <c r="B98" t="inlineStr">
        <is>
          <t>Terça-feira</t>
        </is>
      </c>
      <c r="C98" s="9" t="n">
        <v>0.725</v>
      </c>
      <c r="D98" s="9" t="n">
        <v>0.9027777777777778</v>
      </c>
      <c r="E98" s="1" t="n"/>
      <c r="F98" s="1" t="n"/>
      <c r="G98" s="7">
        <f>IF(AND(C98&lt;&gt;"",D98&lt;&gt;""),(D98-C98),0)+IF(AND(E98&lt;&gt;"",F98&lt;&gt;""),(F98-E98),0)</f>
        <v/>
      </c>
      <c r="H98" s="8">
        <f>(G98*24)*$I$2</f>
        <v/>
      </c>
      <c r="K98" t="inlineStr">
        <is>
          <t>Pago</t>
        </is>
      </c>
    </row>
    <row r="99" ht="15.75" customHeight="1">
      <c r="A99" s="6" t="n">
        <v>46120</v>
      </c>
      <c r="B99" t="inlineStr">
        <is>
          <t>Quarta-feira</t>
        </is>
      </c>
      <c r="C99" s="9" t="n">
        <v>0.7138888888888889</v>
      </c>
      <c r="D99" s="9" t="n">
        <v>0.875</v>
      </c>
      <c r="E99" s="1" t="n"/>
      <c r="F99" s="1" t="n"/>
      <c r="G99" s="7">
        <f>IF(AND(C99&lt;&gt;"",D99&lt;&gt;""),(D99-C99),0)+IF(AND(E99&lt;&gt;"",F99&lt;&gt;""),(F99-E99),0)</f>
        <v/>
      </c>
      <c r="H99" s="8">
        <f>(G99*24)*$I$2</f>
        <v/>
      </c>
      <c r="K99" t="inlineStr">
        <is>
          <t>Pago</t>
        </is>
      </c>
    </row>
    <row r="100">
      <c r="A100" s="6" t="n">
        <v>46121</v>
      </c>
      <c r="B100" t="inlineStr">
        <is>
          <t>Quinta-feira</t>
        </is>
      </c>
      <c r="C100" s="9" t="n">
        <v>0.7256944444444444</v>
      </c>
      <c r="D100" s="9" t="n">
        <v>0.9375</v>
      </c>
      <c r="E100" s="1" t="n"/>
      <c r="F100" s="1" t="n"/>
      <c r="G100" s="7">
        <f>IF(AND(C100&lt;&gt;"",D100&lt;&gt;""),(D100-C100),0)+IF(AND(E100&lt;&gt;"",F100&lt;&gt;""),(F100-E100),0)</f>
        <v/>
      </c>
      <c r="H100" s="8">
        <f>(G100*24)*$I$2</f>
        <v/>
      </c>
      <c r="K100" t="inlineStr">
        <is>
          <t>Pago</t>
        </is>
      </c>
    </row>
    <row r="101" ht="15.75" customHeight="1">
      <c r="A101" s="6" t="n">
        <v>46122</v>
      </c>
      <c r="B101" t="inlineStr">
        <is>
          <t>Sexta-feira</t>
        </is>
      </c>
      <c r="C101" s="9" t="n">
        <v>0.7215277777777778</v>
      </c>
      <c r="D101" s="9" t="n">
        <v>0.8819444444444444</v>
      </c>
      <c r="E101" s="1" t="n"/>
      <c r="F101" s="1" t="n"/>
      <c r="G101" s="7">
        <f>IF(AND(C101&lt;&gt;"",D101&lt;&gt;""),(D101-C101),0)+IF(AND(E101&lt;&gt;"",F101&lt;&gt;""),(F101-E101),0)</f>
        <v/>
      </c>
      <c r="H101" s="8">
        <f>(G101*24)*$I$2</f>
        <v/>
      </c>
      <c r="K101" t="inlineStr">
        <is>
          <t>Pago</t>
        </is>
      </c>
    </row>
    <row r="102" ht="15.75" customHeight="1">
      <c r="A102" s="6" t="n">
        <v>46123</v>
      </c>
      <c r="B102" t="inlineStr">
        <is>
          <t>Sábado</t>
        </is>
      </c>
      <c r="C102" s="9" t="n">
        <v>0.3645833333333333</v>
      </c>
      <c r="D102" s="9" t="n">
        <v>0.5</v>
      </c>
      <c r="E102" s="9" t="n">
        <v>0.5694444444444444</v>
      </c>
      <c r="F102" s="9" t="n">
        <v>0.875</v>
      </c>
      <c r="G102" s="7">
        <f>IF(AND(C102&lt;&gt;"",D102&lt;&gt;""),(D102-C102),0)+IF(AND(E102&lt;&gt;"",F102&lt;&gt;""),(F102-E102),0)</f>
        <v/>
      </c>
      <c r="H102" s="8">
        <f>(G102*24)*$I$2</f>
        <v/>
      </c>
      <c r="K102" t="inlineStr">
        <is>
          <t>Pago</t>
        </is>
      </c>
    </row>
    <row r="103" ht="15.75" customHeight="1">
      <c r="A103" s="6" t="n">
        <v>46124</v>
      </c>
      <c r="B103" t="inlineStr">
        <is>
          <t>Domingo</t>
        </is>
      </c>
      <c r="C103" s="1" t="n"/>
      <c r="D103" s="1" t="n"/>
      <c r="E103" s="1" t="n"/>
      <c r="F103" s="1" t="n"/>
      <c r="G103" s="7">
        <f>IF(AND(C103&lt;&gt;"",D103&lt;&gt;""),(D103-C103),0)+IF(AND(E103&lt;&gt;"",F103&lt;&gt;""),(F103-E103),0)</f>
        <v/>
      </c>
      <c r="H103" s="8">
        <f>(G103*24)*$I$2</f>
        <v/>
      </c>
      <c r="K103" t="inlineStr">
        <is>
          <t>Pago</t>
        </is>
      </c>
    </row>
    <row r="104" ht="15.75" customHeight="1">
      <c r="A104" s="6" t="n">
        <v>46125</v>
      </c>
      <c r="B104" t="inlineStr">
        <is>
          <t>Segunda-feira</t>
        </is>
      </c>
      <c r="C104" s="1" t="n"/>
      <c r="D104" s="1" t="n"/>
      <c r="E104" s="1" t="n"/>
      <c r="F104" s="1" t="n"/>
      <c r="G104" s="7">
        <f>IF(AND(C104&lt;&gt;"",D104&lt;&gt;""),(D104-C104),0)+IF(AND(E104&lt;&gt;"",F104&lt;&gt;""),(F104-E104),0)</f>
        <v/>
      </c>
      <c r="H104" s="8">
        <f>(G104*24)*$I$2</f>
        <v/>
      </c>
      <c r="K104" t="inlineStr">
        <is>
          <t>Pago</t>
        </is>
      </c>
    </row>
    <row r="105" ht="15.75" customHeight="1">
      <c r="A105" s="6" t="n">
        <v>46126</v>
      </c>
      <c r="B105" t="inlineStr">
        <is>
          <t>Terça-feira</t>
        </is>
      </c>
      <c r="C105" s="9" t="n">
        <v>0.7083333333333334</v>
      </c>
      <c r="D105" s="9" t="n">
        <v>0.9513888888888888</v>
      </c>
      <c r="E105" s="1" t="n"/>
      <c r="F105" s="1" t="n"/>
      <c r="G105" s="7">
        <f>IF(AND(C105&lt;&gt;"",D105&lt;&gt;""),(D105-C105),0)+IF(AND(E105&lt;&gt;"",F105&lt;&gt;""),(F105-E105),0)</f>
        <v/>
      </c>
      <c r="H105" s="8">
        <f>(G105*24)*$I$2</f>
        <v/>
      </c>
      <c r="K105" t="inlineStr">
        <is>
          <t>Pago</t>
        </is>
      </c>
    </row>
    <row r="106" ht="15.75" customHeight="1">
      <c r="A106" s="6" t="n">
        <v>46127</v>
      </c>
      <c r="B106" t="inlineStr">
        <is>
          <t>Quarta-feira</t>
        </is>
      </c>
      <c r="C106" s="9" t="n">
        <v>0.7256944444444444</v>
      </c>
      <c r="D106" s="9" t="n">
        <v>0.875</v>
      </c>
      <c r="E106" s="1" t="n"/>
      <c r="F106" s="1" t="n"/>
      <c r="G106" s="7">
        <f>IF(AND(C106&lt;&gt;"",D106&lt;&gt;""),(D106-C106),0)+IF(AND(E106&lt;&gt;"",F106&lt;&gt;""),(F106-E106),0)</f>
        <v/>
      </c>
      <c r="H106" s="8">
        <f>(G106*24)*$I$2</f>
        <v/>
      </c>
      <c r="K106" t="inlineStr">
        <is>
          <t>Pago</t>
        </is>
      </c>
    </row>
    <row r="107" ht="15.75" customHeight="1">
      <c r="A107" s="6" t="n">
        <v>46128</v>
      </c>
      <c r="B107" t="inlineStr">
        <is>
          <t>Quinta-feira</t>
        </is>
      </c>
      <c r="C107" s="9" t="n">
        <v>0.7222222222222222</v>
      </c>
      <c r="D107" s="9" t="n">
        <v>0.875</v>
      </c>
      <c r="E107" s="9" t="n"/>
      <c r="F107" s="9" t="n"/>
      <c r="G107" s="7">
        <f>IF(AND(C107&lt;&gt;"",D107&lt;&gt;""),(D107-C107),0)+IF(AND(E107&lt;&gt;"",F107&lt;&gt;""),(F107-E107),0)</f>
        <v/>
      </c>
      <c r="H107" s="8">
        <f>(G107*24)*$I$2</f>
        <v/>
      </c>
      <c r="K107" t="inlineStr">
        <is>
          <t>Pago</t>
        </is>
      </c>
    </row>
    <row r="108" ht="15.75" customHeight="1">
      <c r="A108" s="6" t="n">
        <v>46129</v>
      </c>
      <c r="B108" t="inlineStr">
        <is>
          <t>Sexta-feira</t>
        </is>
      </c>
      <c r="C108" s="9" t="n">
        <v>0.7326388888888888</v>
      </c>
      <c r="D108" s="9" t="n">
        <v>0.8854166666666666</v>
      </c>
      <c r="E108" s="1" t="n"/>
      <c r="F108" s="1" t="n"/>
      <c r="G108" s="7">
        <f>IF(AND(C108&lt;&gt;"",D108&lt;&gt;""),(D108-C108),0)+IF(AND(E108&lt;&gt;"",F108&lt;&gt;""),(F108-E108),0)</f>
        <v/>
      </c>
      <c r="H108" s="8">
        <f>(G108*24)*$I$2</f>
        <v/>
      </c>
      <c r="K108" t="inlineStr">
        <is>
          <t>Pago</t>
        </is>
      </c>
    </row>
    <row r="109" ht="15.75" customHeight="1">
      <c r="A109" s="6" t="n">
        <v>46130</v>
      </c>
      <c r="B109" t="inlineStr">
        <is>
          <t>Sábado</t>
        </is>
      </c>
      <c r="C109" s="9" t="n">
        <v>0.3680555555555556</v>
      </c>
      <c r="D109" s="9" t="n">
        <v>0.5</v>
      </c>
      <c r="E109" s="9" t="n">
        <v>0.5694444444444444</v>
      </c>
      <c r="F109" s="9" t="n">
        <v>0.875</v>
      </c>
      <c r="G109" s="7">
        <f>IF(AND(C109&lt;&gt;"",D109&lt;&gt;""),(D109-C109),0)+IF(AND(E109&lt;&gt;"",F109&lt;&gt;""),(F109-E109),0)</f>
        <v/>
      </c>
      <c r="H109" s="8">
        <f>(G109*24)*$I$2</f>
        <v/>
      </c>
      <c r="K109" t="inlineStr">
        <is>
          <t>Pago</t>
        </is>
      </c>
    </row>
    <row r="110" ht="15.75" customHeight="1">
      <c r="A110" s="6" t="n">
        <v>46131</v>
      </c>
      <c r="B110" t="inlineStr">
        <is>
          <t>Domingo</t>
        </is>
      </c>
      <c r="C110" s="1" t="n"/>
      <c r="D110" s="1" t="n"/>
      <c r="E110" s="1" t="n"/>
      <c r="F110" s="1" t="n"/>
      <c r="G110" s="7">
        <f>IF(AND(C110&lt;&gt;"",D110&lt;&gt;""),(D110-C110),0)+IF(AND(E110&lt;&gt;"",F110&lt;&gt;""),(F110-E110),0)</f>
        <v/>
      </c>
      <c r="H110" s="8">
        <f>(G110*24)*$I$2</f>
        <v/>
      </c>
      <c r="K110" t="inlineStr">
        <is>
          <t>Pago</t>
        </is>
      </c>
    </row>
    <row r="111" ht="15.75" customHeight="1">
      <c r="A111" s="6" t="n">
        <v>46132</v>
      </c>
      <c r="B111" t="inlineStr">
        <is>
          <t>Segunda-feira</t>
        </is>
      </c>
      <c r="C111" s="1" t="n"/>
      <c r="D111" s="1" t="n"/>
      <c r="E111" s="1" t="n"/>
      <c r="F111" s="1" t="n"/>
      <c r="G111" s="7">
        <f>IF(AND(C111&lt;&gt;"",D111&lt;&gt;""),(D111-C111),0)+IF(AND(E111&lt;&gt;"",F111&lt;&gt;""),(F111-E111),0)</f>
        <v/>
      </c>
      <c r="H111" s="8">
        <f>(G111*24)*$I$2</f>
        <v/>
      </c>
      <c r="K111" t="inlineStr">
        <is>
          <t>Pago</t>
        </is>
      </c>
    </row>
    <row r="112" ht="15.75" customHeight="1">
      <c r="A112" s="6" t="n">
        <v>46133</v>
      </c>
      <c r="B112" t="inlineStr">
        <is>
          <t>Terça-feira</t>
        </is>
      </c>
      <c r="C112" s="1" t="n"/>
      <c r="D112" s="1" t="n"/>
      <c r="E112" s="1" t="n"/>
      <c r="F112" s="1" t="n"/>
      <c r="G112" s="7">
        <f>IF(AND(C112&lt;&gt;"",D112&lt;&gt;""),(D112-C112),0)+IF(AND(E112&lt;&gt;"",F112&lt;&gt;""),(F112-E112),0)</f>
        <v/>
      </c>
      <c r="H112" s="8">
        <f>(G112*24)*$I$2</f>
        <v/>
      </c>
      <c r="K112" t="inlineStr">
        <is>
          <t>Pago</t>
        </is>
      </c>
    </row>
    <row r="113" ht="15.75" customHeight="1">
      <c r="A113" s="6" t="n">
        <v>46134</v>
      </c>
      <c r="B113" t="inlineStr">
        <is>
          <t>Quarta-feira</t>
        </is>
      </c>
      <c r="C113" s="9" t="n">
        <v>0.7256944444444444</v>
      </c>
      <c r="D113" s="9" t="n">
        <v>0.90625</v>
      </c>
      <c r="E113" s="1" t="n"/>
      <c r="F113" s="1" t="n"/>
      <c r="G113" s="7">
        <f>IF(AND(C113&lt;&gt;"",D113&lt;&gt;""),(D113-C113),0)+IF(AND(E113&lt;&gt;"",F113&lt;&gt;""),(F113-E113),0)</f>
        <v/>
      </c>
      <c r="H113" s="8">
        <f>(G113*24)*$I$2</f>
        <v/>
      </c>
      <c r="K113" t="inlineStr">
        <is>
          <t>Pago</t>
        </is>
      </c>
    </row>
    <row r="114" ht="15.75" customHeight="1">
      <c r="A114" s="6" t="n">
        <v>46135</v>
      </c>
      <c r="B114" t="inlineStr">
        <is>
          <t>Quinta-feira</t>
        </is>
      </c>
      <c r="C114" s="9" t="n">
        <v>0.7291666666666666</v>
      </c>
      <c r="D114" s="9" t="n">
        <v>0.8833333333333333</v>
      </c>
      <c r="E114" s="1" t="n"/>
      <c r="F114" s="1" t="n"/>
      <c r="G114" s="7">
        <f>IF(AND(C114&lt;&gt;"",D114&lt;&gt;""),(D114-C114),0)+IF(AND(E114&lt;&gt;"",F114&lt;&gt;""),(F114-E114),0)</f>
        <v/>
      </c>
      <c r="H114" s="8">
        <f>(G114*24)*$I$2</f>
        <v/>
      </c>
      <c r="K114" t="inlineStr">
        <is>
          <t>Pago</t>
        </is>
      </c>
    </row>
    <row r="115" ht="15.75" customHeight="1">
      <c r="A115" s="6" t="n">
        <v>46136</v>
      </c>
      <c r="B115" t="inlineStr">
        <is>
          <t>Sexta-feira</t>
        </is>
      </c>
      <c r="C115" s="9" t="n">
        <v>0.7326388888888888</v>
      </c>
      <c r="D115" s="9" t="n">
        <v>0.9236111111111112</v>
      </c>
      <c r="E115" s="1" t="n"/>
      <c r="F115" s="1" t="n"/>
      <c r="G115" s="7">
        <f>IF(AND(C115&lt;&gt;"",D115&lt;&gt;""),(D115-C115),0)+IF(AND(E115&lt;&gt;"",F115&lt;&gt;""),(F115-E115),0)</f>
        <v/>
      </c>
      <c r="H115" s="8">
        <f>(G115*24)*$I$2</f>
        <v/>
      </c>
      <c r="K115" t="inlineStr">
        <is>
          <t>Pago</t>
        </is>
      </c>
    </row>
    <row r="116" ht="15.75" customHeight="1">
      <c r="A116" s="6" t="n">
        <v>46137</v>
      </c>
      <c r="B116" t="inlineStr">
        <is>
          <t>Sábado</t>
        </is>
      </c>
      <c r="C116" s="9" t="n">
        <v>0.3680555555555556</v>
      </c>
      <c r="D116" s="9" t="n">
        <v>0.5</v>
      </c>
      <c r="E116" s="9" t="n">
        <v>0.5694444444444444</v>
      </c>
      <c r="F116" s="9" t="n">
        <v>0.875</v>
      </c>
      <c r="G116" s="7">
        <f>IF(AND(C116&lt;&gt;"",D116&lt;&gt;""),(D116-C116),0)+IF(AND(E116&lt;&gt;"",F116&lt;&gt;""),(F116-E116),0)</f>
        <v/>
      </c>
      <c r="H116" s="8">
        <f>(G116*24)*$I$2</f>
        <v/>
      </c>
      <c r="K116" t="inlineStr">
        <is>
          <t>Pago</t>
        </is>
      </c>
    </row>
    <row r="117" ht="15.75" customHeight="1">
      <c r="A117" s="6" t="n">
        <v>46138</v>
      </c>
      <c r="B117" t="inlineStr">
        <is>
          <t>Domingo</t>
        </is>
      </c>
      <c r="C117" s="1" t="n"/>
      <c r="D117" s="1" t="n"/>
      <c r="E117" s="1" t="n"/>
      <c r="F117" s="1" t="n"/>
      <c r="G117" s="7">
        <f>IF(AND(C117&lt;&gt;"",D117&lt;&gt;""),(D117-C117),0)+IF(AND(E117&lt;&gt;"",F117&lt;&gt;""),(F117-E117),0)</f>
        <v/>
      </c>
      <c r="H117" s="8">
        <f>(G117*24)*$I$2</f>
        <v/>
      </c>
      <c r="K117" t="inlineStr">
        <is>
          <t>Pago</t>
        </is>
      </c>
    </row>
    <row r="118" ht="15.75" customHeight="1">
      <c r="A118" s="6" t="n">
        <v>46139</v>
      </c>
      <c r="B118" t="inlineStr">
        <is>
          <t>Segunda-feira</t>
        </is>
      </c>
      <c r="C118" s="1" t="n"/>
      <c r="D118" s="1" t="n"/>
      <c r="E118" s="1" t="n"/>
      <c r="F118" s="1" t="n"/>
      <c r="G118" s="7">
        <f>IF(AND(C118&lt;&gt;"",D118&lt;&gt;""),(D118-C118),0)+IF(AND(E118&lt;&gt;"",F118&lt;&gt;""),(F118-E118),0)</f>
        <v/>
      </c>
      <c r="H118" s="8">
        <f>(G118*24)*$I$2</f>
        <v/>
      </c>
      <c r="K118" t="inlineStr">
        <is>
          <t>Pago</t>
        </is>
      </c>
    </row>
    <row r="119" ht="15.75" customHeight="1">
      <c r="A119" s="6" t="n">
        <v>46140</v>
      </c>
      <c r="B119" t="inlineStr">
        <is>
          <t>Terça-feira</t>
        </is>
      </c>
      <c r="C119" s="9" t="n">
        <v>0.7013888888888888</v>
      </c>
      <c r="D119" s="9" t="n">
        <v>0.9263888888888889</v>
      </c>
      <c r="E119" s="1" t="n"/>
      <c r="F119" s="1" t="n"/>
      <c r="G119" s="7">
        <f>IF(AND(C119&lt;&gt;"",D119&lt;&gt;""),(D119-C119),0)+IF(AND(E119&lt;&gt;"",F119&lt;&gt;""),(F119-E119),0)</f>
        <v/>
      </c>
      <c r="H119" s="8">
        <f>(G119*24)*$I$2</f>
        <v/>
      </c>
      <c r="K119" t="inlineStr">
        <is>
          <t>Pago</t>
        </is>
      </c>
    </row>
    <row r="120" ht="15.75" customHeight="1">
      <c r="A120" s="6" t="n">
        <v>46141</v>
      </c>
      <c r="B120" t="inlineStr">
        <is>
          <t>Quarta-feira</t>
        </is>
      </c>
      <c r="C120" s="9" t="n">
        <v>0.7048611111111112</v>
      </c>
      <c r="D120" s="9" t="n">
        <v>0.875</v>
      </c>
      <c r="E120" s="12" t="n"/>
      <c r="F120" s="1" t="n"/>
      <c r="G120" s="7">
        <f>IF(AND(C120&lt;&gt;"",D120&lt;&gt;""),(D120-C120),0)+IF(AND(E120&lt;&gt;"",F120&lt;&gt;""),(F120-E120),0)</f>
        <v/>
      </c>
      <c r="H120" s="8">
        <f>(G120*24)*$I$2</f>
        <v/>
      </c>
      <c r="K120" t="inlineStr">
        <is>
          <t>Pago</t>
        </is>
      </c>
    </row>
    <row r="121" ht="15.75" customHeight="1">
      <c r="A121" s="6" t="n">
        <v>46142</v>
      </c>
      <c r="B121" t="inlineStr">
        <is>
          <t>Quinta-feira</t>
        </is>
      </c>
      <c r="C121" s="9" t="n">
        <v>0.7291666666666666</v>
      </c>
      <c r="D121" s="9" t="n">
        <v>0.9076388888888889</v>
      </c>
      <c r="E121" s="13" t="n"/>
      <c r="F121" s="1" t="n"/>
      <c r="G121" s="7">
        <f>IF(AND(C121&lt;&gt;"",D121&lt;&gt;""),(D121-C121),0)+IF(AND(E121&lt;&gt;"",F121&lt;&gt;""),(F121-E121),0)</f>
        <v/>
      </c>
      <c r="H121" s="8">
        <f>(G121*24)*$I$2</f>
        <v/>
      </c>
      <c r="K121" t="inlineStr">
        <is>
          <t>Pago</t>
        </is>
      </c>
    </row>
    <row r="122" ht="15.75" customHeight="1">
      <c r="A122" s="6" t="n">
        <v>46143</v>
      </c>
      <c r="B122" t="inlineStr">
        <is>
          <t>Sexta-feira</t>
        </is>
      </c>
      <c r="C122" s="1" t="n"/>
      <c r="D122" s="1" t="n"/>
      <c r="E122" s="1" t="n"/>
      <c r="F122" s="1" t="n"/>
      <c r="G122" s="7">
        <f>IF(AND(C122&lt;&gt;"",D122&lt;&gt;""),(D122-C122),0)+IF(AND(E122&lt;&gt;"",F122&lt;&gt;""),(F122-E122),0)</f>
        <v/>
      </c>
      <c r="H122" s="8">
        <f>(G122*24)*$I$2</f>
        <v/>
      </c>
      <c r="K122" t="inlineStr">
        <is>
          <t>Pago</t>
        </is>
      </c>
    </row>
    <row r="123" ht="15.75" customHeight="1">
      <c r="A123" s="6" t="n">
        <v>46144</v>
      </c>
      <c r="B123" t="inlineStr">
        <is>
          <t>Sábado</t>
        </is>
      </c>
      <c r="C123" s="9" t="n">
        <v>0.3645833333333333</v>
      </c>
      <c r="D123" s="9" t="n">
        <v>0.6111111111111112</v>
      </c>
      <c r="E123" s="9" t="n">
        <v>0.6458333333333334</v>
      </c>
      <c r="F123" s="9" t="n">
        <v>0.7340277777777777</v>
      </c>
      <c r="G123" s="7">
        <f>IF(AND(C123&lt;&gt;"",D123&lt;&gt;""),(D123-C123),0)+IF(AND(E123&lt;&gt;"",F123&lt;&gt;""),(F123-E123),0)</f>
        <v/>
      </c>
      <c r="H123" s="8">
        <f>(G123*24)*$I$2</f>
        <v/>
      </c>
      <c r="K123" t="inlineStr">
        <is>
          <t>Pago</t>
        </is>
      </c>
    </row>
    <row r="124" ht="15.75" customHeight="1">
      <c r="A124" s="6" t="n">
        <v>46145</v>
      </c>
      <c r="B124" t="inlineStr">
        <is>
          <t>Domingo</t>
        </is>
      </c>
      <c r="C124" s="1" t="n"/>
      <c r="D124" s="1" t="n"/>
      <c r="E124" s="1" t="n"/>
      <c r="F124" s="1" t="n"/>
      <c r="G124" s="7">
        <f>IF(AND(C124&lt;&gt;"",D124&lt;&gt;""),(D124-C124),0)+IF(AND(E124&lt;&gt;"",F124&lt;&gt;""),(F124-E124),0)</f>
        <v/>
      </c>
      <c r="H124" s="8">
        <f>(G124*24)*$I$2</f>
        <v/>
      </c>
      <c r="K124" t="inlineStr">
        <is>
          <t>Pago</t>
        </is>
      </c>
    </row>
    <row r="125" ht="15.75" customHeight="1">
      <c r="A125" s="6" t="n">
        <v>46146</v>
      </c>
      <c r="B125" t="inlineStr">
        <is>
          <t>Segunda-feira</t>
        </is>
      </c>
      <c r="C125" s="1" t="n"/>
      <c r="D125" s="1" t="n"/>
      <c r="E125" s="1" t="n"/>
      <c r="F125" s="1" t="n"/>
      <c r="G125" s="7">
        <f>IF(AND(C125&lt;&gt;"",D125&lt;&gt;""),(D125-C125),0)+IF(AND(E125&lt;&gt;"",F125&lt;&gt;""),(F125-E125),0)</f>
        <v/>
      </c>
      <c r="H125" s="8">
        <f>(G125*24)*$I$2</f>
        <v/>
      </c>
      <c r="K125" t="inlineStr">
        <is>
          <t>Pago</t>
        </is>
      </c>
    </row>
    <row r="126" ht="15.75" customHeight="1">
      <c r="A126" s="6" t="n">
        <v>46147</v>
      </c>
      <c r="B126" t="inlineStr">
        <is>
          <t>Terça-feira</t>
        </is>
      </c>
      <c r="C126" s="9" t="n">
        <v>0.7430555555555556</v>
      </c>
      <c r="D126" s="9" t="n">
        <v>0.8784722222222222</v>
      </c>
      <c r="E126" s="1" t="n"/>
      <c r="F126" s="1" t="n"/>
      <c r="G126" s="7">
        <f>IF(AND(C126&lt;&gt;"",D126&lt;&gt;""),(D126-C126),0)+IF(AND(E126&lt;&gt;"",F126&lt;&gt;""),(F126-E126),0)</f>
        <v/>
      </c>
      <c r="H126" s="8">
        <f>(G126*24)*$I$2</f>
        <v/>
      </c>
      <c r="K126" t="inlineStr">
        <is>
          <t>Pago</t>
        </is>
      </c>
    </row>
    <row r="127" ht="15.75" customHeight="1">
      <c r="A127" s="6" t="n">
        <v>46148</v>
      </c>
      <c r="B127" t="inlineStr">
        <is>
          <t>Quarta-feira</t>
        </is>
      </c>
      <c r="C127" s="9" t="n">
        <v>0.7465277777777778</v>
      </c>
      <c r="D127" s="9" t="n">
        <v>0.875</v>
      </c>
      <c r="E127" s="1" t="n"/>
      <c r="F127" s="1" t="n"/>
      <c r="G127" s="7">
        <f>IF(AND(C127&lt;&gt;"",D127&lt;&gt;""),(D127-C127),0)+IF(AND(E127&lt;&gt;"",F127&lt;&gt;""),(F127-E127),0)</f>
        <v/>
      </c>
      <c r="H127" s="8">
        <f>(G127*24)*$I$2</f>
        <v/>
      </c>
      <c r="K127" t="inlineStr">
        <is>
          <t>Pago</t>
        </is>
      </c>
    </row>
    <row r="128" ht="15.75" customHeight="1">
      <c r="A128" s="6" t="n">
        <v>46149</v>
      </c>
      <c r="B128" t="inlineStr">
        <is>
          <t>Quinta-feira</t>
        </is>
      </c>
      <c r="C128" s="9" t="n">
        <v>0.7395833333333334</v>
      </c>
      <c r="D128" s="9" t="n">
        <v>0.875</v>
      </c>
      <c r="E128" s="1" t="n"/>
      <c r="F128" s="1" t="n"/>
      <c r="G128" s="7">
        <f>IF(AND(C128&lt;&gt;"",D128&lt;&gt;""),(D128-C128),0)+IF(AND(E128&lt;&gt;"",F128&lt;&gt;""),(F128-E128),0)</f>
        <v/>
      </c>
      <c r="H128" s="8">
        <f>(G128*24)*$I$2</f>
        <v/>
      </c>
      <c r="K128" t="inlineStr">
        <is>
          <t>Pago</t>
        </is>
      </c>
    </row>
    <row r="129" ht="15.75" customHeight="1">
      <c r="A129" s="6" t="n">
        <v>46150</v>
      </c>
      <c r="B129" t="inlineStr">
        <is>
          <t>Sexta-feira</t>
        </is>
      </c>
      <c r="C129" s="1" t="n"/>
      <c r="D129" s="1" t="n"/>
      <c r="E129" s="1" t="n"/>
      <c r="F129" s="1" t="n"/>
      <c r="G129" s="7">
        <f>IF(AND(C129&lt;&gt;"",D129&lt;&gt;""),(D129-C129),0)+IF(AND(E129&lt;&gt;"",F129&lt;&gt;""),(F129-E129),0)</f>
        <v/>
      </c>
      <c r="H129" s="8">
        <f>(G129*24)*$I$2</f>
        <v/>
      </c>
      <c r="K129" t="inlineStr">
        <is>
          <t>Pago</t>
        </is>
      </c>
    </row>
    <row r="130" ht="15.75" customHeight="1">
      <c r="A130" s="6" t="n">
        <v>46151</v>
      </c>
      <c r="B130" t="inlineStr">
        <is>
          <t>Sábado</t>
        </is>
      </c>
      <c r="C130" s="1" t="n"/>
      <c r="D130" s="1" t="n"/>
      <c r="E130" s="1" t="n"/>
      <c r="F130" s="1" t="n"/>
      <c r="G130" s="7">
        <f>IF(AND(C130&lt;&gt;"",D130&lt;&gt;""),(D130-C130),0)+IF(AND(E130&lt;&gt;"",F130&lt;&gt;""),(F130-E130),0)</f>
        <v/>
      </c>
      <c r="H130" s="8">
        <f>(G130*24)*$I$2</f>
        <v/>
      </c>
      <c r="K130" t="inlineStr">
        <is>
          <t>Pago</t>
        </is>
      </c>
    </row>
    <row r="131" ht="15.75" customHeight="1">
      <c r="A131" s="6" t="n">
        <v>46152</v>
      </c>
      <c r="B131" t="inlineStr">
        <is>
          <t>Domingo</t>
        </is>
      </c>
      <c r="C131" s="1" t="n"/>
      <c r="D131" s="1" t="n"/>
      <c r="E131" s="1" t="n"/>
      <c r="F131" s="1" t="n"/>
      <c r="G131" s="7">
        <f>IF(AND(C131&lt;&gt;"",D131&lt;&gt;""),(D131-C131),0)+IF(AND(E131&lt;&gt;"",F131&lt;&gt;""),(F131-E131),0)</f>
        <v/>
      </c>
      <c r="H131" s="8">
        <f>(G131*24)*$I$2</f>
        <v/>
      </c>
      <c r="K131" t="inlineStr">
        <is>
          <t>Pago</t>
        </is>
      </c>
    </row>
    <row r="132" ht="15.75" customHeight="1">
      <c r="A132" s="6" t="n">
        <v>46153</v>
      </c>
      <c r="B132" t="inlineStr">
        <is>
          <t>Segunda-feira</t>
        </is>
      </c>
      <c r="C132" s="1" t="n"/>
      <c r="D132" s="1" t="n"/>
      <c r="E132" s="1" t="n"/>
      <c r="F132" s="1" t="n"/>
      <c r="G132" s="7">
        <f>IF(AND(C132&lt;&gt;"",D132&lt;&gt;""),(D132-C132),0)+IF(AND(E132&lt;&gt;"",F132&lt;&gt;""),(F132-E132),0)</f>
        <v/>
      </c>
      <c r="H132" s="8">
        <f>(G132*24)*$I$2</f>
        <v/>
      </c>
      <c r="K132" t="inlineStr">
        <is>
          <t>Pago</t>
        </is>
      </c>
    </row>
    <row r="133" ht="15.75" customHeight="1">
      <c r="A133" s="6" t="n">
        <v>46154</v>
      </c>
      <c r="B133" t="inlineStr">
        <is>
          <t>Terça-feira</t>
        </is>
      </c>
      <c r="C133" s="9" t="n">
        <v>0.7256944444444444</v>
      </c>
      <c r="D133" s="9" t="n">
        <v>0.9583333333333334</v>
      </c>
      <c r="E133" s="1" t="n"/>
      <c r="F133" s="1" t="n"/>
      <c r="G133" s="7">
        <f>IF(AND(C133&lt;&gt;"",D133&lt;&gt;""),(D133-C133),0)+IF(AND(E133&lt;&gt;"",F133&lt;&gt;""),(F133-E133),0)</f>
        <v/>
      </c>
      <c r="H133" s="8">
        <f>(G133*24)*$I$2</f>
        <v/>
      </c>
      <c r="K133" t="inlineStr">
        <is>
          <t>Pago</t>
        </is>
      </c>
    </row>
    <row r="134" ht="15.75" customHeight="1">
      <c r="A134" s="6" t="n">
        <v>46155</v>
      </c>
      <c r="B134" t="inlineStr">
        <is>
          <t>Quarta-feira</t>
        </is>
      </c>
      <c r="C134" s="9" t="n">
        <v>0.7256944444444444</v>
      </c>
      <c r="D134" s="9" t="n">
        <v>0.8819444444444444</v>
      </c>
      <c r="E134" s="1" t="n"/>
      <c r="F134" s="1" t="n"/>
      <c r="G134" s="7">
        <f>IF(AND(C134&lt;&gt;"",D134&lt;&gt;""),(D134-C134),0)+IF(AND(E134&lt;&gt;"",F134&lt;&gt;""),(F134-E134),0)</f>
        <v/>
      </c>
      <c r="H134" s="8">
        <f>(G134*24)*$I$2</f>
        <v/>
      </c>
      <c r="K134" t="inlineStr">
        <is>
          <t>Pago</t>
        </is>
      </c>
    </row>
    <row r="135" ht="15.75" customHeight="1">
      <c r="A135" s="6" t="n">
        <v>46156</v>
      </c>
      <c r="B135" t="inlineStr">
        <is>
          <t>Quinta-feira</t>
        </is>
      </c>
      <c r="C135" s="9" t="n">
        <v>0.7291666666666666</v>
      </c>
      <c r="D135" s="9" t="n">
        <v>0.875</v>
      </c>
      <c r="E135" s="1" t="n"/>
      <c r="F135" s="1" t="n"/>
      <c r="G135" s="7">
        <f>IF(AND(C135&lt;&gt;"",D135&lt;&gt;""),(D135-C135),0)+IF(AND(E135&lt;&gt;"",F135&lt;&gt;""),(F135-E135),0)</f>
        <v/>
      </c>
      <c r="H135" s="8">
        <f>(G135*24)*$I$2</f>
        <v/>
      </c>
      <c r="K135" t="inlineStr">
        <is>
          <t>Pago</t>
        </is>
      </c>
    </row>
    <row r="136" ht="15.75" customHeight="1">
      <c r="A136" s="6" t="n">
        <v>46157</v>
      </c>
      <c r="B136" t="inlineStr">
        <is>
          <t>Sexta-feira</t>
        </is>
      </c>
      <c r="C136" s="9" t="n">
        <v>0.7222222222222222</v>
      </c>
      <c r="D136" s="9" t="n">
        <v>0.8819444444444444</v>
      </c>
      <c r="E136" s="1" t="n"/>
      <c r="F136" s="1" t="n"/>
      <c r="G136" s="7">
        <f>IF(AND(C136&lt;&gt;"",D136&lt;&gt;""),(D136-C136),0)+IF(AND(E136&lt;&gt;"",F136&lt;&gt;""),(F136-E136),0)</f>
        <v/>
      </c>
      <c r="H136" s="8">
        <f>(G136*24)*$I$2</f>
        <v/>
      </c>
      <c r="K136" t="inlineStr">
        <is>
          <t>Pago</t>
        </is>
      </c>
    </row>
    <row r="137" ht="15.75" customHeight="1">
      <c r="A137" s="6" t="n">
        <v>46158</v>
      </c>
      <c r="B137" t="inlineStr">
        <is>
          <t>Sábado</t>
        </is>
      </c>
      <c r="C137" s="9" t="n">
        <v>0.5729166666666666</v>
      </c>
      <c r="D137" s="9" t="n">
        <v>0.8854166666666666</v>
      </c>
      <c r="E137" s="1" t="n"/>
      <c r="F137" s="1" t="n"/>
      <c r="G137" s="7">
        <f>IF(AND(C137&lt;&gt;"",D137&lt;&gt;""),(D137-C137),0)+IF(AND(E137&lt;&gt;"",F137&lt;&gt;""),(F137-E137),0)</f>
        <v/>
      </c>
      <c r="H137" s="8">
        <f>(G137*24)*$I$2</f>
        <v/>
      </c>
      <c r="K137" t="inlineStr">
        <is>
          <t>Pago</t>
        </is>
      </c>
    </row>
    <row r="138" ht="15.75" customHeight="1">
      <c r="A138" s="6" t="n">
        <v>46159</v>
      </c>
      <c r="B138" t="inlineStr">
        <is>
          <t>Domingo</t>
        </is>
      </c>
      <c r="C138" s="1" t="n"/>
      <c r="D138" s="1" t="n"/>
      <c r="E138" s="1" t="n"/>
      <c r="F138" s="1" t="n"/>
      <c r="G138" s="7">
        <f>IF(AND(C138&lt;&gt;"",D138&lt;&gt;""),(D138-C138),0)+IF(AND(E138&lt;&gt;"",F138&lt;&gt;""),(F138-E138),0)</f>
        <v/>
      </c>
      <c r="H138" s="8">
        <f>(G138*24)*$I$2</f>
        <v/>
      </c>
      <c r="K138" t="inlineStr">
        <is>
          <t>Pago</t>
        </is>
      </c>
    </row>
    <row r="139" ht="15.75" customHeight="1">
      <c r="A139" s="6" t="n">
        <v>46160</v>
      </c>
      <c r="B139" t="inlineStr">
        <is>
          <t>Segunda-feira</t>
        </is>
      </c>
      <c r="C139" s="1" t="n"/>
      <c r="D139" s="1" t="n"/>
      <c r="E139" s="1" t="n"/>
      <c r="F139" s="1" t="n"/>
      <c r="G139" s="7">
        <f>IF(AND(C139&lt;&gt;"",D139&lt;&gt;""),(D139-C139),0)+IF(AND(E139&lt;&gt;"",F139&lt;&gt;""),(F139-E139),0)</f>
        <v/>
      </c>
      <c r="H139" s="8">
        <f>(G139*24)*$I$2</f>
        <v/>
      </c>
      <c r="K139" t="inlineStr">
        <is>
          <t>Pago</t>
        </is>
      </c>
    </row>
    <row r="140" ht="15.75" customHeight="1">
      <c r="A140" s="6" t="n">
        <v>46161</v>
      </c>
      <c r="B140" t="inlineStr">
        <is>
          <t>Terça-feira</t>
        </is>
      </c>
      <c r="C140" s="9" t="n">
        <v>0.7361111111111112</v>
      </c>
      <c r="D140" s="9" t="n">
        <v>0.875</v>
      </c>
      <c r="E140" s="1" t="n"/>
      <c r="F140" s="1" t="n"/>
      <c r="G140" s="7">
        <f>IF(AND(C140&lt;&gt;"",D140&lt;&gt;""),(D140-C140),0)+IF(AND(E140&lt;&gt;"",F140&lt;&gt;""),(F140-E140),0)</f>
        <v/>
      </c>
      <c r="H140" s="8">
        <f>(G140*24)*$I$2</f>
        <v/>
      </c>
      <c r="K140" t="inlineStr">
        <is>
          <t>Pago</t>
        </is>
      </c>
    </row>
    <row r="141" ht="15.75" customHeight="1">
      <c r="A141" s="6" t="n">
        <v>46162</v>
      </c>
      <c r="B141" t="inlineStr">
        <is>
          <t>Quarta-feira</t>
        </is>
      </c>
      <c r="C141" s="9" t="n">
        <v>0.7118055555555556</v>
      </c>
      <c r="D141" s="9" t="n">
        <v>0.9166666666666666</v>
      </c>
      <c r="E141" s="1" t="n"/>
      <c r="F141" s="1" t="n"/>
      <c r="G141" s="7">
        <f>IF(AND(C141&lt;&gt;"",D141&lt;&gt;""),(D141-C141),0)+IF(AND(E141&lt;&gt;"",F141&lt;&gt;""),(F141-E141),0)</f>
        <v/>
      </c>
      <c r="H141" s="8">
        <f>(G141*24)*$I$2</f>
        <v/>
      </c>
      <c r="K141" t="inlineStr">
        <is>
          <t>Pago</t>
        </is>
      </c>
    </row>
    <row r="142" ht="15.75" customHeight="1">
      <c r="A142" s="6" t="n">
        <v>46163</v>
      </c>
      <c r="B142" t="inlineStr">
        <is>
          <t>Quinta-feira</t>
        </is>
      </c>
      <c r="C142" s="9" t="n">
        <v>0.7152777777777778</v>
      </c>
      <c r="D142" s="9" t="n">
        <v>0.875</v>
      </c>
      <c r="E142" s="1" t="n"/>
      <c r="F142" s="1" t="n"/>
      <c r="G142" s="7">
        <f>IF(AND(C142&lt;&gt;"",D142&lt;&gt;""),(D142-C142),0)+IF(AND(E142&lt;&gt;"",F142&lt;&gt;""),(F142-E142),0)</f>
        <v/>
      </c>
      <c r="H142" s="8">
        <f>(G142*24)*$I$2</f>
        <v/>
      </c>
      <c r="J142" t="inlineStr">
        <is>
          <t xml:space="preserve">venda 22lr 500 munição </t>
        </is>
      </c>
      <c r="K142" t="inlineStr">
        <is>
          <t>Pago</t>
        </is>
      </c>
    </row>
    <row r="143" ht="15.75" customHeight="1">
      <c r="A143" s="6" t="n">
        <v>46164</v>
      </c>
      <c r="B143" t="inlineStr">
        <is>
          <t>Sexta-feira</t>
        </is>
      </c>
      <c r="C143" s="9" t="n">
        <v>0.7152777777777778</v>
      </c>
      <c r="D143" s="9" t="n">
        <v>0.9027777777777778</v>
      </c>
      <c r="E143" s="1" t="n"/>
      <c r="F143" s="1" t="n"/>
      <c r="G143" s="7">
        <f>IF(AND(C143&lt;&gt;"",D143&lt;&gt;""),(D143-C143),0)+IF(AND(E143&lt;&gt;"",F143&lt;&gt;""),(F143-E143),0)</f>
        <v/>
      </c>
      <c r="H143" s="8">
        <f>(G143*24)*$I$2</f>
        <v/>
      </c>
      <c r="K143" t="inlineStr">
        <is>
          <t>Pago</t>
        </is>
      </c>
    </row>
    <row r="144" ht="15.75" customHeight="1">
      <c r="A144" s="6" t="n">
        <v>46165</v>
      </c>
      <c r="B144" t="inlineStr">
        <is>
          <t>Sábado</t>
        </is>
      </c>
      <c r="C144" s="9" t="n">
        <v>0.3597222222222222</v>
      </c>
      <c r="D144" s="9" t="n">
        <v>0.5069444444444444</v>
      </c>
      <c r="E144" s="9" t="n">
        <v>0.5694444444444444</v>
      </c>
      <c r="F144" s="9" t="n">
        <v>0.875</v>
      </c>
      <c r="G144" s="7">
        <f>IF(AND(C144&lt;&gt;"",D144&lt;&gt;""),(D144-C144),0)+IF(AND(E144&lt;&gt;"",F144&lt;&gt;""),(F144-E144),0)</f>
        <v/>
      </c>
      <c r="H144" s="8">
        <f>(G144*24)*$I$2</f>
        <v/>
      </c>
      <c r="K144" t="inlineStr">
        <is>
          <t>Pago</t>
        </is>
      </c>
    </row>
    <row r="145" ht="15.75" customHeight="1">
      <c r="A145" s="6" t="n">
        <v>46166</v>
      </c>
      <c r="B145" t="inlineStr">
        <is>
          <t>Domingo</t>
        </is>
      </c>
      <c r="C145" s="1" t="n"/>
      <c r="D145" s="1" t="n"/>
      <c r="E145" s="1" t="n"/>
      <c r="F145" s="1" t="n"/>
      <c r="G145" s="7">
        <f>IF(AND(C145&lt;&gt;"",D145&lt;&gt;""),(D145-C145),0)+IF(AND(E145&lt;&gt;"",F145&lt;&gt;""),(F145-E145),0)</f>
        <v/>
      </c>
      <c r="H145" s="8">
        <f>(G145*24)*$I$2</f>
        <v/>
      </c>
      <c r="K145" t="inlineStr">
        <is>
          <t>Pago</t>
        </is>
      </c>
    </row>
    <row r="146" ht="15.75" customHeight="1">
      <c r="A146" s="6" t="n">
        <v>46167</v>
      </c>
      <c r="B146" t="inlineStr">
        <is>
          <t>Segunda-feira</t>
        </is>
      </c>
      <c r="C146" s="1" t="n"/>
      <c r="D146" s="1" t="n"/>
      <c r="E146" s="1" t="n"/>
      <c r="F146" s="1" t="n"/>
      <c r="G146" s="7">
        <f>IF(AND(C146&lt;&gt;"",D146&lt;&gt;""),(D146-C146),0)+IF(AND(E146&lt;&gt;"",F146&lt;&gt;""),(F146-E146),0)</f>
        <v/>
      </c>
      <c r="H146" s="8">
        <f>(G146*24)*$I$2</f>
        <v/>
      </c>
      <c r="K146" t="inlineStr">
        <is>
          <t>Pago</t>
        </is>
      </c>
    </row>
    <row r="147" ht="15.75" customHeight="1">
      <c r="A147" s="6" t="n">
        <v>46168</v>
      </c>
      <c r="B147" t="inlineStr">
        <is>
          <t>Terça-feira</t>
        </is>
      </c>
      <c r="C147" s="9" t="n">
        <v>0.7118055555555556</v>
      </c>
      <c r="D147" s="9" t="n">
        <v>0.9166666666666666</v>
      </c>
      <c r="E147" s="1" t="n"/>
      <c r="F147" s="1" t="n"/>
      <c r="G147" s="7">
        <f>IF(AND(C147&lt;&gt;"",D147&lt;&gt;""),(D147-C147),0)+IF(AND(E147&lt;&gt;"",F147&lt;&gt;""),(F147-E147),0)</f>
        <v/>
      </c>
      <c r="H147" s="8">
        <f>(G147*24)*$I$2</f>
        <v/>
      </c>
      <c r="K147" t="inlineStr">
        <is>
          <t>Pago</t>
        </is>
      </c>
    </row>
    <row r="148" ht="15.75" customHeight="1">
      <c r="A148" s="6" t="n">
        <v>46169</v>
      </c>
      <c r="B148" t="inlineStr">
        <is>
          <t>Quarta-feira</t>
        </is>
      </c>
      <c r="C148" s="9" t="n">
        <v>0.7152777777777778</v>
      </c>
      <c r="D148" s="9" t="n">
        <v>0.875</v>
      </c>
      <c r="E148" s="1" t="n"/>
      <c r="F148" s="1" t="n"/>
      <c r="G148" s="7">
        <f>IF(AND(C148&lt;&gt;"",D148&lt;&gt;""),(D148-C148),0)+IF(AND(E148&lt;&gt;"",F148&lt;&gt;""),(F148-E148),0)</f>
        <v/>
      </c>
      <c r="H148" s="8">
        <f>(G148*24)*$I$2</f>
        <v/>
      </c>
      <c r="K148" t="inlineStr">
        <is>
          <t>Pago</t>
        </is>
      </c>
    </row>
    <row r="149" ht="15.75" customHeight="1">
      <c r="A149" s="6" t="n">
        <v>46170</v>
      </c>
      <c r="B149" t="inlineStr">
        <is>
          <t>Quinta-feira</t>
        </is>
      </c>
      <c r="C149" s="9" t="n">
        <v>0.7222222222222222</v>
      </c>
      <c r="D149" s="9" t="n">
        <v>0.875</v>
      </c>
      <c r="E149" s="1" t="n"/>
      <c r="F149" s="1" t="n"/>
      <c r="G149" s="7">
        <f>IF(AND(C149&lt;&gt;"",D149&lt;&gt;""),(D149-C149),0)+IF(AND(E149&lt;&gt;"",F149&lt;&gt;""),(F149-E149),0)</f>
        <v/>
      </c>
      <c r="H149" s="8">
        <f>(G149*24)*$I$2</f>
        <v/>
      </c>
      <c r="K149" t="inlineStr">
        <is>
          <t>Pago</t>
        </is>
      </c>
    </row>
    <row r="150" ht="15.75" customHeight="1">
      <c r="A150" s="6" t="n">
        <v>46171</v>
      </c>
      <c r="B150" t="inlineStr">
        <is>
          <t>Sexta-feira</t>
        </is>
      </c>
      <c r="C150" s="9" t="n">
        <v>0.7152777777777778</v>
      </c>
      <c r="D150" s="9" t="n">
        <v>0.8819444444444444</v>
      </c>
      <c r="E150" s="1" t="n"/>
      <c r="F150" s="1" t="n"/>
      <c r="G150" s="7">
        <f>IF(AND(C150&lt;&gt;"",D150&lt;&gt;""),(D150-C150),0)+IF(AND(E150&lt;&gt;"",F150&lt;&gt;""),(F150-E150),0)</f>
        <v/>
      </c>
      <c r="H150" s="8">
        <f>(G150*24)*$I$2</f>
        <v/>
      </c>
      <c r="K150" t="inlineStr">
        <is>
          <t>Pago</t>
        </is>
      </c>
    </row>
    <row r="151" ht="15.75" customHeight="1">
      <c r="A151" s="6" t="n">
        <v>46172</v>
      </c>
      <c r="B151" t="inlineStr">
        <is>
          <t>Sábado</t>
        </is>
      </c>
      <c r="C151" s="9" t="n">
        <v>0.3645833333333333</v>
      </c>
      <c r="D151" s="9" t="n">
        <v>0.5</v>
      </c>
      <c r="E151" s="9" t="n">
        <v>0.5680555555555555</v>
      </c>
      <c r="F151" s="9" t="n">
        <v>0.875</v>
      </c>
      <c r="G151" s="7">
        <f>IF(AND(C151&lt;&gt;"",D151&lt;&gt;""),(D151-C151),0)+IF(AND(E151&lt;&gt;"",F151&lt;&gt;""),(F151-E151),0)</f>
        <v/>
      </c>
      <c r="H151" s="8">
        <f>(G151*24)*$I$2</f>
        <v/>
      </c>
      <c r="K151" t="inlineStr">
        <is>
          <t>Pago</t>
        </is>
      </c>
    </row>
    <row r="152" ht="15.75" customHeight="1">
      <c r="A152" s="6" t="n">
        <v>46173</v>
      </c>
      <c r="B152" t="inlineStr">
        <is>
          <t>Domingo</t>
        </is>
      </c>
      <c r="C152" s="1" t="inlineStr">
        <is>
          <t>08:23</t>
        </is>
      </c>
      <c r="D152" s="1" t="inlineStr">
        <is>
          <t>08:24</t>
        </is>
      </c>
      <c r="E152" s="1" t="n"/>
      <c r="F152" s="1" t="n"/>
      <c r="G152" s="7">
        <f>IF(AND(C152&lt;&gt;"",D152&lt;&gt;""),(D152-C152),0)+IF(AND(E152&lt;&gt;"",F152&lt;&gt;""),(F152-E152),0)</f>
        <v/>
      </c>
      <c r="H152" s="8">
        <f>(G152*24)*$I$2</f>
        <v/>
      </c>
      <c r="K152" t="inlineStr">
        <is>
          <t>Pago</t>
        </is>
      </c>
    </row>
    <row r="153" ht="15.75" customHeight="1">
      <c r="A153" s="6" t="n">
        <v>46174</v>
      </c>
      <c r="B153" t="inlineStr">
        <is>
          <t>Segunda-feira</t>
        </is>
      </c>
      <c r="G153" s="7">
        <f>IF(AND(C153&lt;&gt;"",D153&lt;&gt;""),(D153-C153),0)+IF(AND(E153&lt;&gt;"",F153&lt;&gt;""),(F153-E153),0)</f>
        <v/>
      </c>
      <c r="H153" s="8">
        <f>(G153*24)*$I$2</f>
        <v/>
      </c>
    </row>
    <row r="154" ht="15.75" customHeight="1">
      <c r="A154" s="6" t="n">
        <v>46175</v>
      </c>
      <c r="B154" t="inlineStr">
        <is>
          <t>Terça-feira</t>
        </is>
      </c>
      <c r="G154" s="7">
        <f>IF(AND(C154&lt;&gt;"",D154&lt;&gt;""),(D154-C154),0)+IF(AND(E154&lt;&gt;"",F154&lt;&gt;""),(F154-E154),0)</f>
        <v/>
      </c>
      <c r="H154" s="8">
        <f>(G154*24)*$I$2</f>
        <v/>
      </c>
    </row>
    <row r="155" ht="15.75" customHeight="1">
      <c r="A155" s="6" t="n">
        <v>46176</v>
      </c>
      <c r="B155" t="inlineStr">
        <is>
          <t>Quarta-feira</t>
        </is>
      </c>
      <c r="C155" s="1" t="inlineStr">
        <is>
          <t>08:15</t>
        </is>
      </c>
      <c r="D155" s="1" t="inlineStr">
        <is>
          <t>12:15</t>
        </is>
      </c>
      <c r="E155" s="1" t="n"/>
      <c r="F155" s="1" t="n"/>
      <c r="G155" s="7">
        <f>IF(AND(C155&lt;&gt;"",D155&lt;&gt;""),(D155-C155),0)+IF(AND(E155&lt;&gt;"",F155&lt;&gt;""),(F155-E155),0)</f>
        <v/>
      </c>
      <c r="H155" s="8" t="n">
        <v>48</v>
      </c>
      <c r="I155" t="n">
        <v>12</v>
      </c>
      <c r="J155" t="inlineStr">
        <is>
          <t>Cleared second shift test</t>
        </is>
      </c>
      <c r="K155" t="inlineStr">
        <is>
          <t>Pendente</t>
        </is>
      </c>
      <c r="L155" t="inlineStr">
        <is>
          <t>07:15</t>
        </is>
      </c>
      <c r="M155" t="inlineStr">
        <is>
          <t>12:45</t>
        </is>
      </c>
      <c r="N155" t="inlineStr">
        <is>
          <t>01:30</t>
        </is>
      </c>
      <c r="O155" t="inlineStr">
        <is>
          <t>05:30</t>
        </is>
      </c>
    </row>
    <row r="156" ht="15.75" customHeight="1">
      <c r="A156" s="6" t="n">
        <v>46177</v>
      </c>
      <c r="B156" t="inlineStr">
        <is>
          <t>Quinta-feira</t>
        </is>
      </c>
      <c r="G156" s="7">
        <f>IF(AND(C156&lt;&gt;"",D156&lt;&gt;""),(D156-C156),0)+IF(AND(E156&lt;&gt;"",F156&lt;&gt;""),(F156-E156),0)</f>
        <v/>
      </c>
      <c r="H156" s="8">
        <f>(G156*24)*$I$2</f>
        <v/>
      </c>
    </row>
    <row r="157" ht="15.75" customHeight="1">
      <c r="A157" s="6" t="n">
        <v>46178</v>
      </c>
      <c r="B157" t="inlineStr">
        <is>
          <t>Sexta-feira</t>
        </is>
      </c>
      <c r="G157" s="7">
        <f>IF(AND(C157&lt;&gt;"",D157&lt;&gt;""),(D157-C157),0)+IF(AND(E157&lt;&gt;"",F157&lt;&gt;""),(F157-E157),0)</f>
        <v/>
      </c>
      <c r="H157" s="8">
        <f>(G157*24)*$I$2</f>
        <v/>
      </c>
    </row>
    <row r="158" ht="15.75" customHeight="1">
      <c r="A158" s="6" t="n">
        <v>46179</v>
      </c>
      <c r="B158" t="inlineStr">
        <is>
          <t>Sábado</t>
        </is>
      </c>
      <c r="G158" s="7">
        <f>IF(AND(C158&lt;&gt;"",D158&lt;&gt;""),(D158-C158),0)+IF(AND(E158&lt;&gt;"",F158&lt;&gt;""),(F158-E158),0)</f>
        <v/>
      </c>
      <c r="H158" s="8">
        <f>(G158*24)*$I$2</f>
        <v/>
      </c>
    </row>
    <row r="159" ht="15.75" customHeight="1">
      <c r="A159" s="6" t="n">
        <v>46180</v>
      </c>
      <c r="B159" t="inlineStr">
        <is>
          <t>Domingo</t>
        </is>
      </c>
      <c r="G159" s="7">
        <f>IF(AND(C159&lt;&gt;"",D159&lt;&gt;""),(D159-C159),0)+IF(AND(E159&lt;&gt;"",F159&lt;&gt;""),(F159-E159),0)</f>
        <v/>
      </c>
      <c r="H159" s="8">
        <f>(G159*24)*$I$2</f>
        <v/>
      </c>
    </row>
    <row r="160" ht="15.75" customHeight="1">
      <c r="A160" s="6" t="n">
        <v>46181</v>
      </c>
      <c r="B160" t="inlineStr">
        <is>
          <t>Segunda-feira</t>
        </is>
      </c>
      <c r="G160" s="7">
        <f>IF(AND(C160&lt;&gt;"",D160&lt;&gt;""),(D160-C160),0)+IF(AND(E160&lt;&gt;"",F160&lt;&gt;""),(F160-E160),0)</f>
        <v/>
      </c>
      <c r="H160" s="8">
        <f>(G160*24)*$I$2</f>
        <v/>
      </c>
    </row>
    <row r="161" ht="15.75" customHeight="1">
      <c r="A161" s="6" t="n">
        <v>46182</v>
      </c>
      <c r="B161" t="inlineStr">
        <is>
          <t>Terça-feira</t>
        </is>
      </c>
      <c r="G161" s="7">
        <f>IF(AND(C161&lt;&gt;"",D161&lt;&gt;""),(D161-C161),0)+IF(AND(E161&lt;&gt;"",F161&lt;&gt;""),(F161-E161),0)</f>
        <v/>
      </c>
      <c r="H161" s="8">
        <f>(G161*24)*$I$2</f>
        <v/>
      </c>
    </row>
    <row r="162" ht="15.75" customHeight="1">
      <c r="A162" s="6" t="n">
        <v>46183</v>
      </c>
      <c r="B162" t="inlineStr">
        <is>
          <t>Quarta-feira</t>
        </is>
      </c>
      <c r="C162" s="1" t="n"/>
      <c r="D162" s="1" t="n"/>
      <c r="E162" s="1" t="n"/>
      <c r="F162" s="1" t="n"/>
      <c r="G162" s="7">
        <f>IF(AND(C162&lt;&gt;"",D162&lt;&gt;""),(D162-C162),0)+IF(AND(E162&lt;&gt;"",F162&lt;&gt;""),(F162-E162),0)</f>
        <v/>
      </c>
      <c r="H162" s="8">
        <f>(G162*24)*$I$2</f>
        <v/>
      </c>
    </row>
    <row r="163" ht="15.75" customHeight="1">
      <c r="A163" s="6" t="n">
        <v>46184</v>
      </c>
      <c r="B163" t="inlineStr">
        <is>
          <t>Quinta-feira</t>
        </is>
      </c>
      <c r="G163" s="7">
        <f>IF(AND(C163&lt;&gt;"",D163&lt;&gt;""),(D163-C163),0)+IF(AND(E163&lt;&gt;"",F163&lt;&gt;""),(F163-E163),0)</f>
        <v/>
      </c>
      <c r="H163" s="8">
        <f>(G163*24)*$I$2</f>
        <v/>
      </c>
    </row>
    <row r="164" ht="15.75" customHeight="1">
      <c r="A164" s="6" t="n">
        <v>46185</v>
      </c>
      <c r="B164" t="inlineStr">
        <is>
          <t>Sexta-feira</t>
        </is>
      </c>
      <c r="G164" s="7">
        <f>IF(AND(C164&lt;&gt;"",D164&lt;&gt;""),(D164-C164),0)+IF(AND(E164&lt;&gt;"",F164&lt;&gt;""),(F164-E164),0)</f>
        <v/>
      </c>
      <c r="H164" s="8">
        <f>(G164*24)*$I$2</f>
        <v/>
      </c>
    </row>
    <row r="165" ht="15.75" customHeight="1">
      <c r="A165" s="6" t="n">
        <v>46186</v>
      </c>
      <c r="B165" t="inlineStr">
        <is>
          <t>Sábado</t>
        </is>
      </c>
      <c r="G165" s="7">
        <f>IF(AND(C165&lt;&gt;"",D165&lt;&gt;""),(D165-C165),0)+IF(AND(E165&lt;&gt;"",F165&lt;&gt;""),(F165-E165),0)</f>
        <v/>
      </c>
      <c r="H165" s="8">
        <f>(G165*24)*$I$2</f>
        <v/>
      </c>
    </row>
    <row r="166" ht="15.75" customHeight="1">
      <c r="A166" s="6" t="n">
        <v>46187</v>
      </c>
      <c r="B166" t="inlineStr">
        <is>
          <t>Domingo</t>
        </is>
      </c>
      <c r="G166" s="7">
        <f>IF(AND(C166&lt;&gt;"",D166&lt;&gt;""),(D166-C166),0)+IF(AND(E166&lt;&gt;"",F166&lt;&gt;""),(F166-E166),0)</f>
        <v/>
      </c>
      <c r="H166" s="8">
        <f>(G166*24)*$I$2</f>
        <v/>
      </c>
    </row>
    <row r="167" ht="15.75" customHeight="1">
      <c r="A167" s="6" t="n">
        <v>46188</v>
      </c>
      <c r="B167" t="inlineStr">
        <is>
          <t>Segunda-feira</t>
        </is>
      </c>
      <c r="G167" s="7">
        <f>IF(AND(C167&lt;&gt;"",D167&lt;&gt;""),(D167-C167),0)+IF(AND(E167&lt;&gt;"",F167&lt;&gt;""),(F167-E167),0)</f>
        <v/>
      </c>
      <c r="H167" s="8">
        <f>(G167*24)*$I$2</f>
        <v/>
      </c>
    </row>
    <row r="168" ht="15.75" customHeight="1">
      <c r="A168" s="6" t="n">
        <v>46189</v>
      </c>
      <c r="B168" t="inlineStr">
        <is>
          <t>Terça-feira</t>
        </is>
      </c>
      <c r="G168" s="7">
        <f>IF(AND(C168&lt;&gt;"",D168&lt;&gt;""),(D168-C168),0)+IF(AND(E168&lt;&gt;"",F168&lt;&gt;""),(F168-E168),0)</f>
        <v/>
      </c>
      <c r="H168" s="8">
        <f>(G168*24)*$I$2</f>
        <v/>
      </c>
    </row>
    <row r="169" ht="15.75" customHeight="1">
      <c r="A169" s="6" t="n">
        <v>46190</v>
      </c>
      <c r="B169" t="inlineStr">
        <is>
          <t>Quarta-feira</t>
        </is>
      </c>
      <c r="G169" s="7">
        <f>IF(AND(C169&lt;&gt;"",D169&lt;&gt;""),(D169-C169),0)+IF(AND(E169&lt;&gt;"",F169&lt;&gt;""),(F169-E169),0)</f>
        <v/>
      </c>
      <c r="H169" s="8">
        <f>(G169*24)*$I$2</f>
        <v/>
      </c>
    </row>
    <row r="170" ht="15.75" customHeight="1">
      <c r="A170" s="6" t="n">
        <v>46191</v>
      </c>
      <c r="B170" t="inlineStr">
        <is>
          <t>Quinta-feira</t>
        </is>
      </c>
      <c r="G170" s="7">
        <f>IF(AND(C170&lt;&gt;"",D170&lt;&gt;""),(D170-C170),0)+IF(AND(E170&lt;&gt;"",F170&lt;&gt;""),(F170-E170),0)</f>
        <v/>
      </c>
      <c r="H170" s="8">
        <f>(G170*24)*$I$2</f>
        <v/>
      </c>
    </row>
    <row r="171" ht="15.75" customHeight="1">
      <c r="A171" s="6" t="n">
        <v>46192</v>
      </c>
      <c r="B171" t="inlineStr">
        <is>
          <t>Sexta-feira</t>
        </is>
      </c>
      <c r="G171" s="7">
        <f>IF(AND(C171&lt;&gt;"",D171&lt;&gt;""),(D171-C171),0)+IF(AND(E171&lt;&gt;"",F171&lt;&gt;""),(F171-E171),0)</f>
        <v/>
      </c>
      <c r="H171" s="8">
        <f>(G171*24)*$I$2</f>
        <v/>
      </c>
    </row>
    <row r="172" ht="15.75" customHeight="1">
      <c r="A172" s="6" t="n">
        <v>46193</v>
      </c>
      <c r="B172" t="inlineStr">
        <is>
          <t>Sábado</t>
        </is>
      </c>
      <c r="G172" s="7">
        <f>IF(AND(C172&lt;&gt;"",D172&lt;&gt;""),(D172-C172),0)+IF(AND(E172&lt;&gt;"",F172&lt;&gt;""),(F172-E172),0)</f>
        <v/>
      </c>
      <c r="H172" s="8">
        <f>(G172*24)*$I$2</f>
        <v/>
      </c>
    </row>
    <row r="173" ht="15.75" customHeight="1">
      <c r="A173" s="6" t="n">
        <v>46194</v>
      </c>
      <c r="B173" t="inlineStr">
        <is>
          <t>Domingo</t>
        </is>
      </c>
      <c r="G173" s="7">
        <f>IF(AND(C173&lt;&gt;"",D173&lt;&gt;""),(D173-C173),0)+IF(AND(E173&lt;&gt;"",F173&lt;&gt;""),(F173-E173),0)</f>
        <v/>
      </c>
      <c r="H173" s="8">
        <f>(G173*24)*$I$2</f>
        <v/>
      </c>
    </row>
    <row r="174" ht="15.75" customHeight="1">
      <c r="A174" s="6" t="n">
        <v>46195</v>
      </c>
      <c r="B174" t="inlineStr">
        <is>
          <t>Segunda-feira</t>
        </is>
      </c>
      <c r="G174" s="7">
        <f>IF(AND(C174&lt;&gt;"",D174&lt;&gt;""),(D174-C174),0)+IF(AND(E174&lt;&gt;"",F174&lt;&gt;""),(F174-E174),0)</f>
        <v/>
      </c>
      <c r="H174" s="8">
        <f>(G174*24)*$I$2</f>
        <v/>
      </c>
    </row>
    <row r="175" ht="15.75" customHeight="1">
      <c r="A175" s="6" t="n">
        <v>46196</v>
      </c>
      <c r="B175" t="inlineStr">
        <is>
          <t>Terça-feira</t>
        </is>
      </c>
      <c r="G175" s="7">
        <f>IF(AND(C175&lt;&gt;"",D175&lt;&gt;""),(D175-C175),0)+IF(AND(E175&lt;&gt;"",F175&lt;&gt;""),(F175-E175),0)</f>
        <v/>
      </c>
      <c r="H175" s="8">
        <f>(G175*24)*$I$2</f>
        <v/>
      </c>
    </row>
    <row r="176" ht="15.75" customHeight="1">
      <c r="A176" s="6" t="n">
        <v>46197</v>
      </c>
      <c r="B176" t="inlineStr">
        <is>
          <t>Quarta-feira</t>
        </is>
      </c>
      <c r="G176" s="7">
        <f>IF(AND(C176&lt;&gt;"",D176&lt;&gt;""),(D176-C176),0)+IF(AND(E176&lt;&gt;"",F176&lt;&gt;""),(F176-E176),0)</f>
        <v/>
      </c>
      <c r="H176" s="8">
        <f>(G176*24)*$I$2</f>
        <v/>
      </c>
    </row>
    <row r="177" ht="15.75" customHeight="1">
      <c r="A177" s="6" t="n">
        <v>46198</v>
      </c>
      <c r="B177" t="inlineStr">
        <is>
          <t>Quinta-feira</t>
        </is>
      </c>
      <c r="G177" s="7">
        <f>IF(AND(C177&lt;&gt;"",D177&lt;&gt;""),(D177-C177),0)+IF(AND(E177&lt;&gt;"",F177&lt;&gt;""),(F177-E177),0)</f>
        <v/>
      </c>
      <c r="H177" s="8">
        <f>(G177*24)*$I$2</f>
        <v/>
      </c>
    </row>
    <row r="178" ht="15.75" customHeight="1">
      <c r="A178" s="6" t="n">
        <v>46199</v>
      </c>
      <c r="B178" t="inlineStr">
        <is>
          <t>Sexta-feira</t>
        </is>
      </c>
      <c r="G178" s="7">
        <f>IF(AND(C178&lt;&gt;"",D178&lt;&gt;""),(D178-C178),0)+IF(AND(E178&lt;&gt;"",F178&lt;&gt;""),(F178-E178),0)</f>
        <v/>
      </c>
      <c r="H178" s="8">
        <f>(G178*24)*$I$2</f>
        <v/>
      </c>
    </row>
    <row r="179" ht="15.75" customHeight="1">
      <c r="A179" s="6" t="n">
        <v>46200</v>
      </c>
      <c r="B179" t="inlineStr">
        <is>
          <t>Sábado</t>
        </is>
      </c>
      <c r="G179" s="7">
        <f>IF(AND(C179&lt;&gt;"",D179&lt;&gt;""),(D179-C179),0)+IF(AND(E179&lt;&gt;"",F179&lt;&gt;""),(F179-E179),0)</f>
        <v/>
      </c>
      <c r="H179" s="8">
        <f>(G179*24)*$I$2</f>
        <v/>
      </c>
    </row>
    <row r="180" ht="15.75" customHeight="1">
      <c r="A180" s="6" t="n">
        <v>46201</v>
      </c>
      <c r="B180" t="inlineStr">
        <is>
          <t>Domingo</t>
        </is>
      </c>
      <c r="G180" s="7">
        <f>IF(AND(C180&lt;&gt;"",D180&lt;&gt;""),(D180-C180),0)+IF(AND(E180&lt;&gt;"",F180&lt;&gt;""),(F180-E180),0)</f>
        <v/>
      </c>
      <c r="H180" s="8">
        <f>(G180*24)*$I$2</f>
        <v/>
      </c>
    </row>
    <row r="181" ht="15.75" customHeight="1">
      <c r="A181" s="6" t="n">
        <v>46202</v>
      </c>
      <c r="B181" t="inlineStr">
        <is>
          <t>Segunda-feira</t>
        </is>
      </c>
      <c r="G181" s="7">
        <f>IF(AND(C181&lt;&gt;"",D181&lt;&gt;""),(D181-C181),0)+IF(AND(E181&lt;&gt;"",F181&lt;&gt;""),(F181-E181),0)</f>
        <v/>
      </c>
      <c r="H181" s="8">
        <f>(G181*24)*$I$2</f>
        <v/>
      </c>
    </row>
    <row r="182" ht="15.75" customHeight="1">
      <c r="A182" s="6" t="n">
        <v>46203</v>
      </c>
      <c r="B182" t="inlineStr">
        <is>
          <t>Terça-feira</t>
        </is>
      </c>
      <c r="G182" s="7">
        <f>IF(AND(C182&lt;&gt;"",D182&lt;&gt;""),(D182-C182),0)+IF(AND(E182&lt;&gt;"",F182&lt;&gt;""),(F182-E182),0)</f>
        <v/>
      </c>
      <c r="H182" s="8">
        <f>(G182*24)*$I$2</f>
        <v/>
      </c>
    </row>
    <row r="183" ht="15.75" customHeight="1">
      <c r="A183" s="6" t="n">
        <v>46204</v>
      </c>
      <c r="B183" t="inlineStr">
        <is>
          <t>Quarta-feira</t>
        </is>
      </c>
      <c r="G183" s="7">
        <f>IF(AND(C183&lt;&gt;"",D183&lt;&gt;""),(D183-C183),0)+IF(AND(E183&lt;&gt;"",F183&lt;&gt;""),(F183-E183),0)</f>
        <v/>
      </c>
      <c r="H183" s="8">
        <f>(G183*24)*$I$2</f>
        <v/>
      </c>
    </row>
    <row r="184" ht="15.75" customHeight="1">
      <c r="A184" s="6" t="n">
        <v>46205</v>
      </c>
      <c r="B184" t="inlineStr">
        <is>
          <t>Quinta-feira</t>
        </is>
      </c>
      <c r="G184" s="7">
        <f>IF(AND(C184&lt;&gt;"",D184&lt;&gt;""),(D184-C184),0)+IF(AND(E184&lt;&gt;"",F184&lt;&gt;""),(F184-E184),0)</f>
        <v/>
      </c>
      <c r="H184" s="8">
        <f>(G184*24)*$I$2</f>
        <v/>
      </c>
    </row>
    <row r="185" ht="15.75" customHeight="1">
      <c r="A185" s="6" t="n">
        <v>46206</v>
      </c>
      <c r="B185" t="inlineStr">
        <is>
          <t>Sexta-feira</t>
        </is>
      </c>
      <c r="G185" s="7">
        <f>IF(AND(C185&lt;&gt;"",D185&lt;&gt;""),(D185-C185),0)+IF(AND(E185&lt;&gt;"",F185&lt;&gt;""),(F185-E185),0)</f>
        <v/>
      </c>
      <c r="H185" s="8">
        <f>(G185*24)*$I$2</f>
        <v/>
      </c>
    </row>
    <row r="186" ht="15.75" customHeight="1">
      <c r="A186" s="6" t="n">
        <v>46207</v>
      </c>
      <c r="B186" t="inlineStr">
        <is>
          <t>Sábado</t>
        </is>
      </c>
      <c r="G186" s="7">
        <f>IF(AND(C186&lt;&gt;"",D186&lt;&gt;""),(D186-C186),0)+IF(AND(E186&lt;&gt;"",F186&lt;&gt;""),(F186-E186),0)</f>
        <v/>
      </c>
      <c r="H186" s="8">
        <f>(G186*24)*$I$2</f>
        <v/>
      </c>
    </row>
    <row r="187" ht="15.75" customHeight="1">
      <c r="A187" s="6" t="n">
        <v>46208</v>
      </c>
      <c r="B187" t="inlineStr">
        <is>
          <t>Domingo</t>
        </is>
      </c>
      <c r="G187" s="7">
        <f>IF(AND(C187&lt;&gt;"",D187&lt;&gt;""),(D187-C187),0)+IF(AND(E187&lt;&gt;"",F187&lt;&gt;""),(F187-E187),0)</f>
        <v/>
      </c>
      <c r="H187" s="8">
        <f>(G187*24)*$I$2</f>
        <v/>
      </c>
    </row>
    <row r="188" ht="15.75" customHeight="1">
      <c r="A188" s="6" t="n">
        <v>46209</v>
      </c>
      <c r="B188" t="inlineStr">
        <is>
          <t>Segunda-feira</t>
        </is>
      </c>
      <c r="G188" s="7">
        <f>IF(AND(C188&lt;&gt;"",D188&lt;&gt;""),(D188-C188),0)+IF(AND(E188&lt;&gt;"",F188&lt;&gt;""),(F188-E188),0)</f>
        <v/>
      </c>
      <c r="H188" s="8">
        <f>(G188*24)*$I$2</f>
        <v/>
      </c>
    </row>
    <row r="189" ht="15.75" customHeight="1">
      <c r="A189" s="6" t="n">
        <v>46210</v>
      </c>
      <c r="B189" t="inlineStr">
        <is>
          <t>Terça-feira</t>
        </is>
      </c>
      <c r="G189" s="7">
        <f>IF(AND(C189&lt;&gt;"",D189&lt;&gt;""),(D189-C189),0)+IF(AND(E189&lt;&gt;"",F189&lt;&gt;""),(F189-E189),0)</f>
        <v/>
      </c>
      <c r="H189" s="8">
        <f>(G189*24)*$I$2</f>
        <v/>
      </c>
    </row>
    <row r="190" ht="15.75" customHeight="1">
      <c r="A190" s="6" t="n">
        <v>46211</v>
      </c>
      <c r="B190" t="inlineStr">
        <is>
          <t>Quarta-feira</t>
        </is>
      </c>
      <c r="G190" s="7">
        <f>IF(AND(C190&lt;&gt;"",D190&lt;&gt;""),(D190-C190),0)+IF(AND(E190&lt;&gt;"",F190&lt;&gt;""),(F190-E190),0)</f>
        <v/>
      </c>
      <c r="H190" s="8">
        <f>(G190*24)*$I$2</f>
        <v/>
      </c>
    </row>
    <row r="191" ht="15.75" customHeight="1">
      <c r="A191" s="6" t="n">
        <v>46212</v>
      </c>
      <c r="B191" t="inlineStr">
        <is>
          <t>Quinta-feira</t>
        </is>
      </c>
      <c r="G191" s="7">
        <f>IF(AND(C191&lt;&gt;"",D191&lt;&gt;""),(D191-C191),0)+IF(AND(E191&lt;&gt;"",F191&lt;&gt;""),(F191-E191),0)</f>
        <v/>
      </c>
      <c r="H191" s="8">
        <f>(G191*24)*$I$2</f>
        <v/>
      </c>
    </row>
    <row r="192" ht="15.75" customHeight="1">
      <c r="A192" s="6" t="n">
        <v>46213</v>
      </c>
      <c r="B192" t="inlineStr">
        <is>
          <t>Sexta-feira</t>
        </is>
      </c>
      <c r="G192" s="7">
        <f>IF(AND(C192&lt;&gt;"",D192&lt;&gt;""),(D192-C192),0)+IF(AND(E192&lt;&gt;"",F192&lt;&gt;""),(F192-E192),0)</f>
        <v/>
      </c>
      <c r="H192" s="8">
        <f>(G192*24)*$I$2</f>
        <v/>
      </c>
    </row>
    <row r="193" ht="15.75" customHeight="1">
      <c r="A193" s="6" t="n">
        <v>46214</v>
      </c>
      <c r="B193" t="inlineStr">
        <is>
          <t>Sábado</t>
        </is>
      </c>
      <c r="G193" s="7">
        <f>IF(AND(C193&lt;&gt;"",D193&lt;&gt;""),(D193-C193),0)+IF(AND(E193&lt;&gt;"",F193&lt;&gt;""),(F193-E193),0)</f>
        <v/>
      </c>
      <c r="H193" s="8">
        <f>(G193*24)*$I$2</f>
        <v/>
      </c>
    </row>
    <row r="194" ht="15.75" customHeight="1">
      <c r="A194" s="6" t="n">
        <v>46215</v>
      </c>
      <c r="B194" t="inlineStr">
        <is>
          <t>Domingo</t>
        </is>
      </c>
      <c r="G194" s="7">
        <f>IF(AND(C194&lt;&gt;"",D194&lt;&gt;""),(D194-C194),0)+IF(AND(E194&lt;&gt;"",F194&lt;&gt;""),(F194-E194),0)</f>
        <v/>
      </c>
      <c r="H194" s="8">
        <f>(G194*24)*$I$2</f>
        <v/>
      </c>
    </row>
    <row r="195" ht="15.75" customHeight="1">
      <c r="A195" s="6" t="n">
        <v>46216</v>
      </c>
      <c r="B195" t="inlineStr">
        <is>
          <t>Segunda-feira</t>
        </is>
      </c>
      <c r="G195" s="7">
        <f>IF(AND(C195&lt;&gt;"",D195&lt;&gt;""),(D195-C195),0)+IF(AND(E195&lt;&gt;"",F195&lt;&gt;""),(F195-E195),0)</f>
        <v/>
      </c>
      <c r="H195" s="8">
        <f>(G195*24)*$I$2</f>
        <v/>
      </c>
    </row>
    <row r="196" ht="15.75" customHeight="1">
      <c r="A196" s="6" t="n">
        <v>46217</v>
      </c>
      <c r="B196" t="inlineStr">
        <is>
          <t>Terça-feira</t>
        </is>
      </c>
      <c r="G196" s="7">
        <f>IF(AND(C196&lt;&gt;"",D196&lt;&gt;""),(D196-C196),0)+IF(AND(E196&lt;&gt;"",F196&lt;&gt;""),(F196-E196),0)</f>
        <v/>
      </c>
      <c r="H196" s="8">
        <f>(G196*24)*$I$2</f>
        <v/>
      </c>
    </row>
    <row r="197" ht="15.75" customHeight="1">
      <c r="A197" s="6" t="n">
        <v>46218</v>
      </c>
      <c r="B197" t="inlineStr">
        <is>
          <t>Quarta-feira</t>
        </is>
      </c>
      <c r="G197" s="7">
        <f>IF(AND(C197&lt;&gt;"",D197&lt;&gt;""),(D197-C197),0)+IF(AND(E197&lt;&gt;"",F197&lt;&gt;""),(F197-E197),0)</f>
        <v/>
      </c>
      <c r="H197" s="8">
        <f>(G197*24)*$I$2</f>
        <v/>
      </c>
    </row>
    <row r="198" ht="15.75" customHeight="1">
      <c r="A198" s="6" t="n">
        <v>46219</v>
      </c>
      <c r="B198" t="inlineStr">
        <is>
          <t>Quinta-feira</t>
        </is>
      </c>
      <c r="G198" s="7">
        <f>IF(AND(C198&lt;&gt;"",D198&lt;&gt;""),(D198-C198),0)+IF(AND(E198&lt;&gt;"",F198&lt;&gt;""),(F198-E198),0)</f>
        <v/>
      </c>
      <c r="H198" s="8">
        <f>(G198*24)*$I$2</f>
        <v/>
      </c>
    </row>
    <row r="199" ht="15.75" customHeight="1">
      <c r="A199" s="6" t="n">
        <v>46220</v>
      </c>
      <c r="B199" t="inlineStr">
        <is>
          <t>Sexta-feira</t>
        </is>
      </c>
      <c r="G199" s="7">
        <f>IF(AND(C199&lt;&gt;"",D199&lt;&gt;""),(D199-C199),0)+IF(AND(E199&lt;&gt;"",F199&lt;&gt;""),(F199-E199),0)</f>
        <v/>
      </c>
      <c r="H199" s="8">
        <f>(G199*24)*$I$2</f>
        <v/>
      </c>
    </row>
    <row r="200" ht="15.75" customHeight="1">
      <c r="A200" s="6" t="n">
        <v>46221</v>
      </c>
      <c r="B200" t="inlineStr">
        <is>
          <t>Sábado</t>
        </is>
      </c>
      <c r="G200" s="7">
        <f>IF(AND(C200&lt;&gt;"",D200&lt;&gt;""),(D200-C200),0)+IF(AND(E200&lt;&gt;"",F200&lt;&gt;""),(F200-E200),0)</f>
        <v/>
      </c>
      <c r="H200" s="8">
        <f>(G200*24)*$I$2</f>
        <v/>
      </c>
    </row>
    <row r="201" ht="15.75" customHeight="1">
      <c r="A201" s="6" t="n">
        <v>46222</v>
      </c>
      <c r="B201" t="inlineStr">
        <is>
          <t>Domingo</t>
        </is>
      </c>
      <c r="G201" s="7">
        <f>IF(AND(C201&lt;&gt;"",D201&lt;&gt;""),(D201-C201),0)+IF(AND(E201&lt;&gt;"",F201&lt;&gt;""),(F201-E201),0)</f>
        <v/>
      </c>
      <c r="H201" s="8">
        <f>(G201*24)*$I$2</f>
        <v/>
      </c>
    </row>
    <row r="202" ht="15.75" customHeight="1">
      <c r="A202" s="6" t="n">
        <v>46223</v>
      </c>
      <c r="B202" t="inlineStr">
        <is>
          <t>Segunda-feira</t>
        </is>
      </c>
      <c r="G202" s="7">
        <f>IF(AND(C202&lt;&gt;"",D202&lt;&gt;""),(D202-C202),0)+IF(AND(E202&lt;&gt;"",F202&lt;&gt;""),(F202-E202),0)</f>
        <v/>
      </c>
      <c r="H202" s="8">
        <f>(G202*24)*$I$2</f>
        <v/>
      </c>
    </row>
    <row r="203" ht="15.75" customHeight="1">
      <c r="A203" s="6" t="n">
        <v>46224</v>
      </c>
      <c r="B203" t="inlineStr">
        <is>
          <t>Terça-feira</t>
        </is>
      </c>
      <c r="G203" s="7">
        <f>IF(AND(C203&lt;&gt;"",D203&lt;&gt;""),(D203-C203),0)+IF(AND(E203&lt;&gt;"",F203&lt;&gt;""),(F203-E203),0)</f>
        <v/>
      </c>
      <c r="H203" s="8">
        <f>(G203*24)*$I$2</f>
        <v/>
      </c>
    </row>
    <row r="204" ht="15.75" customHeight="1">
      <c r="A204" s="6" t="n">
        <v>46225</v>
      </c>
      <c r="B204" t="inlineStr">
        <is>
          <t>Quarta-feira</t>
        </is>
      </c>
      <c r="G204" s="7">
        <f>IF(AND(C204&lt;&gt;"",D204&lt;&gt;""),(D204-C204),0)+IF(AND(E204&lt;&gt;"",F204&lt;&gt;""),(F204-E204),0)</f>
        <v/>
      </c>
      <c r="H204" s="8">
        <f>(G204*24)*$I$2</f>
        <v/>
      </c>
    </row>
    <row r="205" ht="15.75" customHeight="1">
      <c r="A205" s="6" t="n">
        <v>46226</v>
      </c>
      <c r="B205" t="inlineStr">
        <is>
          <t>Quinta-feira</t>
        </is>
      </c>
      <c r="G205" s="7">
        <f>IF(AND(C205&lt;&gt;"",D205&lt;&gt;""),(D205-C205),0)+IF(AND(E205&lt;&gt;"",F205&lt;&gt;""),(F205-E205),0)</f>
        <v/>
      </c>
      <c r="H205" s="8">
        <f>(G205*24)*$I$2</f>
        <v/>
      </c>
    </row>
    <row r="206" ht="15.75" customHeight="1">
      <c r="A206" s="6" t="n">
        <v>46227</v>
      </c>
      <c r="B206" t="inlineStr">
        <is>
          <t>Sexta-feira</t>
        </is>
      </c>
      <c r="G206" s="7">
        <f>IF(AND(C206&lt;&gt;"",D206&lt;&gt;""),(D206-C206),0)+IF(AND(E206&lt;&gt;"",F206&lt;&gt;""),(F206-E206),0)</f>
        <v/>
      </c>
      <c r="H206" s="8">
        <f>(G206*24)*$I$2</f>
        <v/>
      </c>
    </row>
    <row r="207" ht="15.75" customHeight="1">
      <c r="A207" s="6" t="n">
        <v>46228</v>
      </c>
      <c r="B207" t="inlineStr">
        <is>
          <t>Sábado</t>
        </is>
      </c>
      <c r="G207" s="7">
        <f>IF(AND(C207&lt;&gt;"",D207&lt;&gt;""),(D207-C207),0)+IF(AND(E207&lt;&gt;"",F207&lt;&gt;""),(F207-E207),0)</f>
        <v/>
      </c>
      <c r="H207" s="8">
        <f>(G207*24)*$I$2</f>
        <v/>
      </c>
    </row>
    <row r="208" ht="15.75" customHeight="1">
      <c r="A208" s="6" t="n">
        <v>46229</v>
      </c>
      <c r="B208" t="inlineStr">
        <is>
          <t>Domingo</t>
        </is>
      </c>
      <c r="G208" s="7">
        <f>IF(AND(C208&lt;&gt;"",D208&lt;&gt;""),(D208-C208),0)+IF(AND(E208&lt;&gt;"",F208&lt;&gt;""),(F208-E208),0)</f>
        <v/>
      </c>
      <c r="H208" s="8">
        <f>(G208*24)*$I$2</f>
        <v/>
      </c>
    </row>
    <row r="209" ht="15.75" customHeight="1">
      <c r="A209" s="6" t="n">
        <v>46230</v>
      </c>
      <c r="B209" t="inlineStr">
        <is>
          <t>Segunda-feira</t>
        </is>
      </c>
      <c r="G209" s="7">
        <f>IF(AND(C209&lt;&gt;"",D209&lt;&gt;""),(D209-C209),0)+IF(AND(E209&lt;&gt;"",F209&lt;&gt;""),(F209-E209),0)</f>
        <v/>
      </c>
      <c r="H209" s="8">
        <f>(G209*24)*$I$2</f>
        <v/>
      </c>
    </row>
    <row r="210" ht="15.75" customHeight="1">
      <c r="A210" s="6" t="n">
        <v>46231</v>
      </c>
      <c r="B210" t="inlineStr">
        <is>
          <t>Terça-feira</t>
        </is>
      </c>
      <c r="G210" s="7">
        <f>IF(AND(C210&lt;&gt;"",D210&lt;&gt;""),(D210-C210),0)+IF(AND(E210&lt;&gt;"",F210&lt;&gt;""),(F210-E210),0)</f>
        <v/>
      </c>
      <c r="H210" s="8">
        <f>(G210*24)*$I$2</f>
        <v/>
      </c>
    </row>
    <row r="211" ht="15.75" customHeight="1">
      <c r="A211" s="6" t="n">
        <v>46232</v>
      </c>
      <c r="B211" t="inlineStr">
        <is>
          <t>Quarta-feira</t>
        </is>
      </c>
      <c r="G211" s="7">
        <f>IF(AND(C211&lt;&gt;"",D211&lt;&gt;""),(D211-C211),0)+IF(AND(E211&lt;&gt;"",F211&lt;&gt;""),(F211-E211),0)</f>
        <v/>
      </c>
      <c r="H211" s="8">
        <f>(G211*24)*$I$2</f>
        <v/>
      </c>
    </row>
    <row r="212" ht="15.75" customHeight="1">
      <c r="A212" s="6" t="n">
        <v>46233</v>
      </c>
      <c r="B212" t="inlineStr">
        <is>
          <t>Quinta-feira</t>
        </is>
      </c>
      <c r="G212" s="7">
        <f>IF(AND(C212&lt;&gt;"",D212&lt;&gt;""),(D212-C212),0)+IF(AND(E212&lt;&gt;"",F212&lt;&gt;""),(F212-E212),0)</f>
        <v/>
      </c>
      <c r="H212" s="8">
        <f>(G212*24)*$I$2</f>
        <v/>
      </c>
    </row>
    <row r="213" ht="15.75" customHeight="1">
      <c r="A213" s="6" t="n">
        <v>46234</v>
      </c>
      <c r="B213" t="inlineStr">
        <is>
          <t>Sexta-feira</t>
        </is>
      </c>
      <c r="G213" s="7">
        <f>IF(AND(C213&lt;&gt;"",D213&lt;&gt;""),(D213-C213),0)+IF(AND(E213&lt;&gt;"",F213&lt;&gt;""),(F213-E213),0)</f>
        <v/>
      </c>
      <c r="H213" s="8">
        <f>(G213*24)*$I$2</f>
        <v/>
      </c>
    </row>
    <row r="214" ht="15.75" customHeight="1">
      <c r="A214" s="6" t="n">
        <v>46235</v>
      </c>
      <c r="B214" t="inlineStr">
        <is>
          <t>Sábado</t>
        </is>
      </c>
      <c r="G214" s="7">
        <f>IF(AND(C214&lt;&gt;"",D214&lt;&gt;""),(D214-C214),0)+IF(AND(E214&lt;&gt;"",F214&lt;&gt;""),(F214-E214),0)</f>
        <v/>
      </c>
      <c r="H214" s="8">
        <f>(G214*24)*$I$2</f>
        <v/>
      </c>
    </row>
    <row r="215" ht="15.75" customHeight="1">
      <c r="A215" s="6" t="n">
        <v>46236</v>
      </c>
      <c r="B215" t="inlineStr">
        <is>
          <t>Domingo</t>
        </is>
      </c>
      <c r="G215" s="7">
        <f>IF(AND(C215&lt;&gt;"",D215&lt;&gt;""),(D215-C215),0)+IF(AND(E215&lt;&gt;"",F215&lt;&gt;""),(F215-E215),0)</f>
        <v/>
      </c>
      <c r="H215" s="8">
        <f>(G215*24)*$I$2</f>
        <v/>
      </c>
    </row>
    <row r="216" ht="15.75" customHeight="1">
      <c r="A216" s="6" t="n">
        <v>46237</v>
      </c>
      <c r="B216" t="inlineStr">
        <is>
          <t>Segunda-feira</t>
        </is>
      </c>
      <c r="G216" s="7">
        <f>IF(AND(C216&lt;&gt;"",D216&lt;&gt;""),(D216-C216),0)+IF(AND(E216&lt;&gt;"",F216&lt;&gt;""),(F216-E216),0)</f>
        <v/>
      </c>
      <c r="H216" s="8">
        <f>(G216*24)*$I$2</f>
        <v/>
      </c>
    </row>
    <row r="217" ht="15.75" customHeight="1">
      <c r="A217" s="6" t="n">
        <v>46238</v>
      </c>
      <c r="B217" t="inlineStr">
        <is>
          <t>Terça-feira</t>
        </is>
      </c>
      <c r="G217" s="7">
        <f>IF(AND(C217&lt;&gt;"",D217&lt;&gt;""),(D217-C217),0)+IF(AND(E217&lt;&gt;"",F217&lt;&gt;""),(F217-E217),0)</f>
        <v/>
      </c>
      <c r="H217" s="8">
        <f>(G217*24)*$I$2</f>
        <v/>
      </c>
    </row>
    <row r="218" ht="15.75" customHeight="1">
      <c r="A218" s="6" t="n">
        <v>46239</v>
      </c>
      <c r="B218" t="inlineStr">
        <is>
          <t>Quarta-feira</t>
        </is>
      </c>
      <c r="G218" s="7">
        <f>IF(AND(C218&lt;&gt;"",D218&lt;&gt;""),(D218-C218),0)+IF(AND(E218&lt;&gt;"",F218&lt;&gt;""),(F218-E218),0)</f>
        <v/>
      </c>
      <c r="H218" s="8">
        <f>(G218*24)*$I$2</f>
        <v/>
      </c>
    </row>
    <row r="219" ht="15.75" customHeight="1">
      <c r="A219" s="6" t="n">
        <v>46240</v>
      </c>
      <c r="B219" t="inlineStr">
        <is>
          <t>Quinta-feira</t>
        </is>
      </c>
      <c r="G219" s="7">
        <f>IF(AND(C219&lt;&gt;"",D219&lt;&gt;""),(D219-C219),0)+IF(AND(E219&lt;&gt;"",F219&lt;&gt;""),(F219-E219),0)</f>
        <v/>
      </c>
      <c r="H219" s="8">
        <f>(G219*24)*$I$2</f>
        <v/>
      </c>
    </row>
    <row r="220" ht="15.75" customHeight="1">
      <c r="A220" s="6" t="n">
        <v>46241</v>
      </c>
      <c r="B220" t="inlineStr">
        <is>
          <t>Sexta-feira</t>
        </is>
      </c>
      <c r="G220" s="7">
        <f>IF(AND(C220&lt;&gt;"",D220&lt;&gt;""),(D220-C220),0)+IF(AND(E220&lt;&gt;"",F220&lt;&gt;""),(F220-E220),0)</f>
        <v/>
      </c>
      <c r="H220" s="8">
        <f>(G220*24)*$I$2</f>
        <v/>
      </c>
    </row>
    <row r="221" ht="15.75" customHeight="1">
      <c r="A221" s="6" t="n">
        <v>46242</v>
      </c>
      <c r="B221" t="inlineStr">
        <is>
          <t>Sábado</t>
        </is>
      </c>
      <c r="G221" s="7">
        <f>IF(AND(C221&lt;&gt;"",D221&lt;&gt;""),(D221-C221),0)+IF(AND(E221&lt;&gt;"",F221&lt;&gt;""),(F221-E221),0)</f>
        <v/>
      </c>
      <c r="H221" s="8">
        <f>(G221*24)*$I$2</f>
        <v/>
      </c>
    </row>
    <row r="222" ht="15.75" customHeight="1">
      <c r="A222" s="6" t="n">
        <v>46243</v>
      </c>
      <c r="B222" t="inlineStr">
        <is>
          <t>Domingo</t>
        </is>
      </c>
      <c r="G222" s="7">
        <f>IF(AND(C222&lt;&gt;"",D222&lt;&gt;""),(D222-C222),0)+IF(AND(E222&lt;&gt;"",F222&lt;&gt;""),(F222-E222),0)</f>
        <v/>
      </c>
      <c r="H222" s="8">
        <f>(G222*24)*$I$2</f>
        <v/>
      </c>
    </row>
    <row r="223" ht="15.75" customHeight="1">
      <c r="A223" s="6" t="n">
        <v>46244</v>
      </c>
      <c r="B223" t="inlineStr">
        <is>
          <t>Segunda-feira</t>
        </is>
      </c>
      <c r="G223" s="7">
        <f>IF(AND(C223&lt;&gt;"",D223&lt;&gt;""),(D223-C223),0)+IF(AND(E223&lt;&gt;"",F223&lt;&gt;""),(F223-E223),0)</f>
        <v/>
      </c>
      <c r="H223" s="8">
        <f>(G223*24)*$I$2</f>
        <v/>
      </c>
    </row>
    <row r="224" ht="15.75" customHeight="1">
      <c r="A224" s="6" t="n">
        <v>46245</v>
      </c>
      <c r="B224" t="inlineStr">
        <is>
          <t>Terça-feira</t>
        </is>
      </c>
      <c r="G224" s="7">
        <f>IF(AND(C224&lt;&gt;"",D224&lt;&gt;""),(D224-C224),0)+IF(AND(E224&lt;&gt;"",F224&lt;&gt;""),(F224-E224),0)</f>
        <v/>
      </c>
      <c r="H224" s="8">
        <f>(G224*24)*$I$2</f>
        <v/>
      </c>
    </row>
    <row r="225" ht="15.75" customHeight="1">
      <c r="A225" s="6" t="n">
        <v>46246</v>
      </c>
      <c r="B225" t="inlineStr">
        <is>
          <t>Quarta-feira</t>
        </is>
      </c>
      <c r="G225" s="7">
        <f>IF(AND(C225&lt;&gt;"",D225&lt;&gt;""),(D225-C225),0)+IF(AND(E225&lt;&gt;"",F225&lt;&gt;""),(F225-E225),0)</f>
        <v/>
      </c>
      <c r="H225" s="8">
        <f>(G225*24)*$I$2</f>
        <v/>
      </c>
    </row>
    <row r="226" ht="15.75" customHeight="1">
      <c r="A226" s="6" t="n">
        <v>46247</v>
      </c>
      <c r="B226" t="inlineStr">
        <is>
          <t>Quinta-feira</t>
        </is>
      </c>
      <c r="G226" s="7">
        <f>IF(AND(C226&lt;&gt;"",D226&lt;&gt;""),(D226-C226),0)+IF(AND(E226&lt;&gt;"",F226&lt;&gt;""),(F226-E226),0)</f>
        <v/>
      </c>
      <c r="H226" s="8">
        <f>(G226*24)*$I$2</f>
        <v/>
      </c>
    </row>
    <row r="227" ht="15.75" customHeight="1">
      <c r="A227" s="6" t="n">
        <v>46248</v>
      </c>
      <c r="B227" t="inlineStr">
        <is>
          <t>Sexta-feira</t>
        </is>
      </c>
      <c r="G227" s="7">
        <f>IF(AND(C227&lt;&gt;"",D227&lt;&gt;""),(D227-C227),0)+IF(AND(E227&lt;&gt;"",F227&lt;&gt;""),(F227-E227),0)</f>
        <v/>
      </c>
      <c r="H227" s="8">
        <f>(G227*24)*$I$2</f>
        <v/>
      </c>
    </row>
    <row r="228" ht="15.75" customHeight="1">
      <c r="A228" s="6" t="n">
        <v>46249</v>
      </c>
      <c r="B228" t="inlineStr">
        <is>
          <t>Sábado</t>
        </is>
      </c>
      <c r="G228" s="7">
        <f>IF(AND(C228&lt;&gt;"",D228&lt;&gt;""),(D228-C228),0)+IF(AND(E228&lt;&gt;"",F228&lt;&gt;""),(F228-E228),0)</f>
        <v/>
      </c>
      <c r="H228" s="8">
        <f>(G228*24)*$I$2</f>
        <v/>
      </c>
    </row>
    <row r="229" ht="15.75" customHeight="1">
      <c r="A229" s="6" t="n">
        <v>46250</v>
      </c>
      <c r="B229" t="inlineStr">
        <is>
          <t>Domingo</t>
        </is>
      </c>
      <c r="G229" s="7">
        <f>IF(AND(C229&lt;&gt;"",D229&lt;&gt;""),(D229-C229),0)+IF(AND(E229&lt;&gt;"",F229&lt;&gt;""),(F229-E229),0)</f>
        <v/>
      </c>
      <c r="H229" s="8">
        <f>(G229*24)*$I$2</f>
        <v/>
      </c>
    </row>
    <row r="230" ht="15.75" customHeight="1">
      <c r="A230" s="6" t="n">
        <v>46251</v>
      </c>
      <c r="B230" t="inlineStr">
        <is>
          <t>Segunda-feira</t>
        </is>
      </c>
      <c r="G230" s="7">
        <f>IF(AND(C230&lt;&gt;"",D230&lt;&gt;""),(D230-C230),0)+IF(AND(E230&lt;&gt;"",F230&lt;&gt;""),(F230-E230),0)</f>
        <v/>
      </c>
      <c r="H230" s="8">
        <f>(G230*24)*$I$2</f>
        <v/>
      </c>
    </row>
    <row r="231" ht="15.75" customHeight="1">
      <c r="A231" s="6" t="n">
        <v>46252</v>
      </c>
      <c r="B231" t="inlineStr">
        <is>
          <t>Terça-feira</t>
        </is>
      </c>
      <c r="G231" s="7">
        <f>IF(AND(C231&lt;&gt;"",D231&lt;&gt;""),(D231-C231),0)+IF(AND(E231&lt;&gt;"",F231&lt;&gt;""),(F231-E231),0)</f>
        <v/>
      </c>
      <c r="H231" s="8">
        <f>(G231*24)*$I$2</f>
        <v/>
      </c>
    </row>
    <row r="232" ht="15.75" customHeight="1">
      <c r="A232" s="6" t="n">
        <v>46253</v>
      </c>
      <c r="B232" t="inlineStr">
        <is>
          <t>Quarta-feira</t>
        </is>
      </c>
      <c r="G232" s="7">
        <f>IF(AND(C232&lt;&gt;"",D232&lt;&gt;""),(D232-C232),0)+IF(AND(E232&lt;&gt;"",F232&lt;&gt;""),(F232-E232),0)</f>
        <v/>
      </c>
      <c r="H232" s="8">
        <f>(G232*24)*$I$2</f>
        <v/>
      </c>
    </row>
    <row r="233" ht="15.75" customHeight="1">
      <c r="A233" s="6" t="n">
        <v>46254</v>
      </c>
      <c r="B233" t="inlineStr">
        <is>
          <t>Quinta-feira</t>
        </is>
      </c>
      <c r="G233" s="7">
        <f>IF(AND(C233&lt;&gt;"",D233&lt;&gt;""),(D233-C233),0)+IF(AND(E233&lt;&gt;"",F233&lt;&gt;""),(F233-E233),0)</f>
        <v/>
      </c>
      <c r="H233" s="8">
        <f>(G233*24)*$I$2</f>
        <v/>
      </c>
    </row>
    <row r="234" ht="15.75" customHeight="1">
      <c r="A234" s="6" t="n">
        <v>46255</v>
      </c>
      <c r="B234" t="inlineStr">
        <is>
          <t>Sexta-feira</t>
        </is>
      </c>
      <c r="G234" s="7">
        <f>IF(AND(C234&lt;&gt;"",D234&lt;&gt;""),(D234-C234),0)+IF(AND(E234&lt;&gt;"",F234&lt;&gt;""),(F234-E234),0)</f>
        <v/>
      </c>
      <c r="H234" s="8">
        <f>(G234*24)*$I$2</f>
        <v/>
      </c>
    </row>
    <row r="235" ht="15.75" customHeight="1">
      <c r="A235" s="6" t="n">
        <v>46256</v>
      </c>
      <c r="B235" t="inlineStr">
        <is>
          <t>Sábado</t>
        </is>
      </c>
      <c r="G235" s="7">
        <f>IF(AND(C235&lt;&gt;"",D235&lt;&gt;""),(D235-C235),0)+IF(AND(E235&lt;&gt;"",F235&lt;&gt;""),(F235-E235),0)</f>
        <v/>
      </c>
      <c r="H235" s="8">
        <f>(G235*24)*$I$2</f>
        <v/>
      </c>
    </row>
    <row r="236" ht="15.75" customHeight="1">
      <c r="A236" s="6" t="n">
        <v>46257</v>
      </c>
      <c r="B236" t="inlineStr">
        <is>
          <t>Domingo</t>
        </is>
      </c>
      <c r="G236" s="7">
        <f>IF(AND(C236&lt;&gt;"",D236&lt;&gt;""),(D236-C236),0)+IF(AND(E236&lt;&gt;"",F236&lt;&gt;""),(F236-E236),0)</f>
        <v/>
      </c>
      <c r="H236" s="8">
        <f>(G236*24)*$I$2</f>
        <v/>
      </c>
    </row>
    <row r="237" ht="15.75" customHeight="1">
      <c r="A237" s="6" t="n">
        <v>46258</v>
      </c>
      <c r="B237" t="inlineStr">
        <is>
          <t>Segunda-feira</t>
        </is>
      </c>
      <c r="G237" s="7">
        <f>IF(AND(C237&lt;&gt;"",D237&lt;&gt;""),(D237-C237),0)+IF(AND(E237&lt;&gt;"",F237&lt;&gt;""),(F237-E237),0)</f>
        <v/>
      </c>
      <c r="H237" s="8">
        <f>(G237*24)*$I$2</f>
        <v/>
      </c>
    </row>
    <row r="238" ht="15.75" customHeight="1">
      <c r="A238" s="6" t="n">
        <v>46259</v>
      </c>
      <c r="B238" t="inlineStr">
        <is>
          <t>Terça-feira</t>
        </is>
      </c>
      <c r="G238" s="7">
        <f>IF(AND(C238&lt;&gt;"",D238&lt;&gt;""),(D238-C238),0)+IF(AND(E238&lt;&gt;"",F238&lt;&gt;""),(F238-E238),0)</f>
        <v/>
      </c>
      <c r="H238" s="8">
        <f>(G238*24)*$I$2</f>
        <v/>
      </c>
    </row>
    <row r="239" ht="15.75" customHeight="1">
      <c r="A239" s="6" t="n">
        <v>46260</v>
      </c>
      <c r="B239" t="inlineStr">
        <is>
          <t>Quarta-feira</t>
        </is>
      </c>
      <c r="G239" s="7">
        <f>IF(AND(C239&lt;&gt;"",D239&lt;&gt;""),(D239-C239),0)+IF(AND(E239&lt;&gt;"",F239&lt;&gt;""),(F239-E239),0)</f>
        <v/>
      </c>
      <c r="H239" s="8">
        <f>(G239*24)*$I$2</f>
        <v/>
      </c>
    </row>
    <row r="240" ht="15.75" customHeight="1">
      <c r="A240" s="6" t="n">
        <v>46261</v>
      </c>
      <c r="B240" t="inlineStr">
        <is>
          <t>Quinta-feira</t>
        </is>
      </c>
      <c r="G240" s="7">
        <f>IF(AND(C240&lt;&gt;"",D240&lt;&gt;""),(D240-C240),0)+IF(AND(E240&lt;&gt;"",F240&lt;&gt;""),(F240-E240),0)</f>
        <v/>
      </c>
      <c r="H240" s="8">
        <f>(G240*24)*$I$2</f>
        <v/>
      </c>
    </row>
    <row r="241" ht="15.75" customHeight="1">
      <c r="A241" s="6" t="n">
        <v>46262</v>
      </c>
      <c r="B241" t="inlineStr">
        <is>
          <t>Sexta-feira</t>
        </is>
      </c>
      <c r="G241" s="7">
        <f>IF(AND(C241&lt;&gt;"",D241&lt;&gt;""),(D241-C241),0)+IF(AND(E241&lt;&gt;"",F241&lt;&gt;""),(F241-E241),0)</f>
        <v/>
      </c>
      <c r="H241" s="8">
        <f>(G241*24)*$I$2</f>
        <v/>
      </c>
    </row>
    <row r="242" ht="15.75" customHeight="1">
      <c r="A242" s="6" t="n">
        <v>46263</v>
      </c>
      <c r="B242" t="inlineStr">
        <is>
          <t>Sábado</t>
        </is>
      </c>
      <c r="G242" s="7">
        <f>IF(AND(C242&lt;&gt;"",D242&lt;&gt;""),(D242-C242),0)+IF(AND(E242&lt;&gt;"",F242&lt;&gt;""),(F242-E242),0)</f>
        <v/>
      </c>
      <c r="H242" s="8">
        <f>(G242*24)*$I$2</f>
        <v/>
      </c>
    </row>
    <row r="243" ht="15.75" customHeight="1">
      <c r="A243" s="6" t="n">
        <v>46264</v>
      </c>
      <c r="B243" t="inlineStr">
        <is>
          <t>Domingo</t>
        </is>
      </c>
      <c r="G243" s="7">
        <f>IF(AND(C243&lt;&gt;"",D243&lt;&gt;""),(D243-C243),0)+IF(AND(E243&lt;&gt;"",F243&lt;&gt;""),(F243-E243),0)</f>
        <v/>
      </c>
      <c r="H243" s="8">
        <f>(G243*24)*$I$2</f>
        <v/>
      </c>
    </row>
    <row r="244" ht="15.75" customHeight="1">
      <c r="A244" s="6" t="n">
        <v>46265</v>
      </c>
      <c r="B244" t="inlineStr">
        <is>
          <t>Segunda-feira</t>
        </is>
      </c>
      <c r="G244" s="7">
        <f>IF(AND(C244&lt;&gt;"",D244&lt;&gt;""),(D244-C244),0)+IF(AND(E244&lt;&gt;"",F244&lt;&gt;""),(F244-E244),0)</f>
        <v/>
      </c>
      <c r="H244" s="8">
        <f>(G244*24)*$I$2</f>
        <v/>
      </c>
    </row>
    <row r="245" ht="15.75" customHeight="1">
      <c r="A245" s="6" t="n">
        <v>46266</v>
      </c>
      <c r="B245" t="inlineStr">
        <is>
          <t>Terça-feira</t>
        </is>
      </c>
      <c r="G245" s="7">
        <f>IF(AND(C245&lt;&gt;"",D245&lt;&gt;""),(D245-C245),0)+IF(AND(E245&lt;&gt;"",F245&lt;&gt;""),(F245-E245),0)</f>
        <v/>
      </c>
      <c r="H245" s="8">
        <f>(G245*24)*$I$2</f>
        <v/>
      </c>
    </row>
    <row r="246" ht="15.75" customHeight="1">
      <c r="A246" s="6" t="n">
        <v>46267</v>
      </c>
      <c r="B246" t="inlineStr">
        <is>
          <t>Quarta-feira</t>
        </is>
      </c>
      <c r="G246" s="7">
        <f>IF(AND(C246&lt;&gt;"",D246&lt;&gt;""),(D246-C246),0)+IF(AND(E246&lt;&gt;"",F246&lt;&gt;""),(F246-E246),0)</f>
        <v/>
      </c>
      <c r="H246" s="8">
        <f>(G246*24)*$I$2</f>
        <v/>
      </c>
    </row>
    <row r="247" ht="15.75" customHeight="1">
      <c r="A247" s="6" t="n">
        <v>46268</v>
      </c>
      <c r="B247" t="inlineStr">
        <is>
          <t>Quinta-feira</t>
        </is>
      </c>
      <c r="G247" s="7">
        <f>IF(AND(C247&lt;&gt;"",D247&lt;&gt;""),(D247-C247),0)+IF(AND(E247&lt;&gt;"",F247&lt;&gt;""),(F247-E247),0)</f>
        <v/>
      </c>
      <c r="H247" s="8">
        <f>(G247*24)*$I$2</f>
        <v/>
      </c>
    </row>
    <row r="248" ht="15.75" customHeight="1">
      <c r="A248" s="6" t="n">
        <v>46269</v>
      </c>
      <c r="B248" t="inlineStr">
        <is>
          <t>Sexta-feira</t>
        </is>
      </c>
      <c r="G248" s="7">
        <f>IF(AND(C248&lt;&gt;"",D248&lt;&gt;""),(D248-C248),0)+IF(AND(E248&lt;&gt;"",F248&lt;&gt;""),(F248-E248),0)</f>
        <v/>
      </c>
      <c r="H248" s="8">
        <f>(G248*24)*$I$2</f>
        <v/>
      </c>
    </row>
    <row r="249" ht="15.75" customHeight="1">
      <c r="A249" s="6" t="n">
        <v>46270</v>
      </c>
      <c r="B249" t="inlineStr">
        <is>
          <t>Sábado</t>
        </is>
      </c>
      <c r="G249" s="7">
        <f>IF(AND(C249&lt;&gt;"",D249&lt;&gt;""),(D249-C249),0)+IF(AND(E249&lt;&gt;"",F249&lt;&gt;""),(F249-E249),0)</f>
        <v/>
      </c>
      <c r="H249" s="8">
        <f>(G249*24)*$I$2</f>
        <v/>
      </c>
    </row>
    <row r="250" ht="15.75" customHeight="1">
      <c r="A250" s="6" t="n">
        <v>46271</v>
      </c>
      <c r="B250" t="inlineStr">
        <is>
          <t>Domingo</t>
        </is>
      </c>
      <c r="G250" s="7">
        <f>IF(AND(C250&lt;&gt;"",D250&lt;&gt;""),(D250-C250),0)+IF(AND(E250&lt;&gt;"",F250&lt;&gt;""),(F250-E250),0)</f>
        <v/>
      </c>
      <c r="H250" s="8">
        <f>(G250*24)*$I$2</f>
        <v/>
      </c>
    </row>
    <row r="251" ht="15.75" customHeight="1">
      <c r="A251" s="6" t="n">
        <v>46272</v>
      </c>
      <c r="B251" t="inlineStr">
        <is>
          <t>Segunda-feira</t>
        </is>
      </c>
      <c r="G251" s="7">
        <f>IF(AND(C251&lt;&gt;"",D251&lt;&gt;""),(D251-C251),0)+IF(AND(E251&lt;&gt;"",F251&lt;&gt;""),(F251-E251),0)</f>
        <v/>
      </c>
      <c r="H251" s="8">
        <f>(G251*24)*$I$2</f>
        <v/>
      </c>
    </row>
    <row r="252" ht="15.75" customHeight="1">
      <c r="A252" s="6" t="n">
        <v>46273</v>
      </c>
      <c r="B252" t="inlineStr">
        <is>
          <t>Terça-feira</t>
        </is>
      </c>
      <c r="G252" s="7">
        <f>IF(AND(C252&lt;&gt;"",D252&lt;&gt;""),(D252-C252),0)+IF(AND(E252&lt;&gt;"",F252&lt;&gt;""),(F252-E252),0)</f>
        <v/>
      </c>
      <c r="H252" s="8">
        <f>(G252*24)*$I$2</f>
        <v/>
      </c>
    </row>
    <row r="253" ht="15.75" customHeight="1">
      <c r="A253" s="6" t="n">
        <v>46274</v>
      </c>
      <c r="B253" t="inlineStr">
        <is>
          <t>Quarta-feira</t>
        </is>
      </c>
      <c r="G253" s="7">
        <f>IF(AND(C253&lt;&gt;"",D253&lt;&gt;""),(D253-C253),0)+IF(AND(E253&lt;&gt;"",F253&lt;&gt;""),(F253-E253),0)</f>
        <v/>
      </c>
      <c r="H253" s="8">
        <f>(G253*24)*$I$2</f>
        <v/>
      </c>
    </row>
    <row r="254" ht="15.75" customHeight="1">
      <c r="A254" s="6" t="n">
        <v>46275</v>
      </c>
      <c r="B254" t="inlineStr">
        <is>
          <t>Quinta-feira</t>
        </is>
      </c>
      <c r="G254" s="7">
        <f>IF(AND(C254&lt;&gt;"",D254&lt;&gt;""),(D254-C254),0)+IF(AND(E254&lt;&gt;"",F254&lt;&gt;""),(F254-E254),0)</f>
        <v/>
      </c>
      <c r="H254" s="8">
        <f>(G254*24)*$I$2</f>
        <v/>
      </c>
    </row>
    <row r="255" ht="15.75" customHeight="1">
      <c r="A255" s="6" t="n">
        <v>46276</v>
      </c>
      <c r="B255" t="inlineStr">
        <is>
          <t>Sexta-feira</t>
        </is>
      </c>
      <c r="G255" s="7">
        <f>IF(AND(C255&lt;&gt;"",D255&lt;&gt;""),(D255-C255),0)+IF(AND(E255&lt;&gt;"",F255&lt;&gt;""),(F255-E255),0)</f>
        <v/>
      </c>
      <c r="H255" s="8">
        <f>(G255*24)*$I$2</f>
        <v/>
      </c>
    </row>
    <row r="256" ht="15.75" customHeight="1">
      <c r="A256" s="6" t="n">
        <v>46277</v>
      </c>
      <c r="B256" t="inlineStr">
        <is>
          <t>Sábado</t>
        </is>
      </c>
      <c r="G256" s="7">
        <f>IF(AND(C256&lt;&gt;"",D256&lt;&gt;""),(D256-C256),0)+IF(AND(E256&lt;&gt;"",F256&lt;&gt;""),(F256-E256),0)</f>
        <v/>
      </c>
      <c r="H256" s="8">
        <f>(G256*24)*$I$2</f>
        <v/>
      </c>
    </row>
    <row r="257" ht="15.75" customHeight="1">
      <c r="A257" s="6" t="n">
        <v>46278</v>
      </c>
      <c r="B257" t="inlineStr">
        <is>
          <t>Domingo</t>
        </is>
      </c>
      <c r="G257" s="7">
        <f>IF(AND(C257&lt;&gt;"",D257&lt;&gt;""),(D257-C257),0)+IF(AND(E257&lt;&gt;"",F257&lt;&gt;""),(F257-E257),0)</f>
        <v/>
      </c>
      <c r="H257" s="8">
        <f>(G257*24)*$I$2</f>
        <v/>
      </c>
    </row>
    <row r="258" ht="15.75" customHeight="1">
      <c r="A258" s="6" t="n">
        <v>46279</v>
      </c>
      <c r="B258" t="inlineStr">
        <is>
          <t>Segunda-feira</t>
        </is>
      </c>
      <c r="G258" s="7">
        <f>IF(AND(C258&lt;&gt;"",D258&lt;&gt;""),(D258-C258),0)+IF(AND(E258&lt;&gt;"",F258&lt;&gt;""),(F258-E258),0)</f>
        <v/>
      </c>
      <c r="H258" s="8">
        <f>(G258*24)*$I$2</f>
        <v/>
      </c>
    </row>
    <row r="259" ht="15.75" customHeight="1">
      <c r="A259" s="6" t="n">
        <v>46280</v>
      </c>
      <c r="B259" t="inlineStr">
        <is>
          <t>Terça-feira</t>
        </is>
      </c>
      <c r="G259" s="7">
        <f>IF(AND(C259&lt;&gt;"",D259&lt;&gt;""),(D259-C259),0)+IF(AND(E259&lt;&gt;"",F259&lt;&gt;""),(F259-E259),0)</f>
        <v/>
      </c>
      <c r="H259" s="8">
        <f>(G259*24)*$I$2</f>
        <v/>
      </c>
    </row>
    <row r="260" ht="15.75" customHeight="1">
      <c r="A260" s="6" t="n">
        <v>46281</v>
      </c>
      <c r="B260" t="inlineStr">
        <is>
          <t>Quarta-feira</t>
        </is>
      </c>
      <c r="G260" s="7">
        <f>IF(AND(C260&lt;&gt;"",D260&lt;&gt;""),(D260-C260),0)+IF(AND(E260&lt;&gt;"",F260&lt;&gt;""),(F260-E260),0)</f>
        <v/>
      </c>
      <c r="H260" s="8">
        <f>(G260*24)*$I$2</f>
        <v/>
      </c>
    </row>
    <row r="261" ht="15.75" customHeight="1">
      <c r="A261" s="6" t="n">
        <v>46282</v>
      </c>
      <c r="B261" t="inlineStr">
        <is>
          <t>Quinta-feira</t>
        </is>
      </c>
      <c r="G261" s="7">
        <f>IF(AND(C261&lt;&gt;"",D261&lt;&gt;""),(D261-C261),0)+IF(AND(E261&lt;&gt;"",F261&lt;&gt;""),(F261-E261),0)</f>
        <v/>
      </c>
      <c r="H261" s="8">
        <f>(G261*24)*$I$2</f>
        <v/>
      </c>
    </row>
    <row r="262" ht="15.75" customHeight="1">
      <c r="A262" s="6" t="n">
        <v>46283</v>
      </c>
      <c r="B262" t="inlineStr">
        <is>
          <t>Sexta-feira</t>
        </is>
      </c>
      <c r="G262" s="7">
        <f>IF(AND(C262&lt;&gt;"",D262&lt;&gt;""),(D262-C262),0)+IF(AND(E262&lt;&gt;"",F262&lt;&gt;""),(F262-E262),0)</f>
        <v/>
      </c>
      <c r="H262" s="8">
        <f>(G262*24)*$I$2</f>
        <v/>
      </c>
    </row>
    <row r="263" ht="15.75" customHeight="1">
      <c r="A263" s="6" t="n">
        <v>46284</v>
      </c>
      <c r="B263" t="inlineStr">
        <is>
          <t>Sábado</t>
        </is>
      </c>
      <c r="G263" s="7">
        <f>IF(AND(C263&lt;&gt;"",D263&lt;&gt;""),(D263-C263),0)+IF(AND(E263&lt;&gt;"",F263&lt;&gt;""),(F263-E263),0)</f>
        <v/>
      </c>
      <c r="H263" s="8">
        <f>(G263*24)*$I$2</f>
        <v/>
      </c>
    </row>
    <row r="264" ht="15.75" customHeight="1">
      <c r="A264" s="6" t="n">
        <v>46285</v>
      </c>
      <c r="B264" t="inlineStr">
        <is>
          <t>Domingo</t>
        </is>
      </c>
      <c r="G264" s="7">
        <f>IF(AND(C264&lt;&gt;"",D264&lt;&gt;""),(D264-C264),0)+IF(AND(E264&lt;&gt;"",F264&lt;&gt;""),(F264-E264),0)</f>
        <v/>
      </c>
      <c r="H264" s="8">
        <f>(G264*24)*$I$2</f>
        <v/>
      </c>
    </row>
    <row r="265" ht="15.75" customHeight="1">
      <c r="A265" s="6" t="n">
        <v>46286</v>
      </c>
      <c r="B265" t="inlineStr">
        <is>
          <t>Segunda-feira</t>
        </is>
      </c>
      <c r="G265" s="7">
        <f>IF(AND(C265&lt;&gt;"",D265&lt;&gt;""),(D265-C265),0)+IF(AND(E265&lt;&gt;"",F265&lt;&gt;""),(F265-E265),0)</f>
        <v/>
      </c>
      <c r="H265" s="8">
        <f>(G265*24)*$I$2</f>
        <v/>
      </c>
    </row>
    <row r="266" ht="15.75" customHeight="1">
      <c r="A266" s="6" t="n">
        <v>46287</v>
      </c>
      <c r="B266" t="inlineStr">
        <is>
          <t>Terça-feira</t>
        </is>
      </c>
      <c r="G266" s="7">
        <f>IF(AND(C266&lt;&gt;"",D266&lt;&gt;""),(D266-C266),0)+IF(AND(E266&lt;&gt;"",F266&lt;&gt;""),(F266-E266),0)</f>
        <v/>
      </c>
      <c r="H266" s="8">
        <f>(G266*24)*$I$2</f>
        <v/>
      </c>
    </row>
    <row r="267" ht="15.75" customHeight="1">
      <c r="A267" s="6" t="n">
        <v>46288</v>
      </c>
      <c r="B267" t="inlineStr">
        <is>
          <t>Quarta-feira</t>
        </is>
      </c>
      <c r="G267" s="7">
        <f>IF(AND(C267&lt;&gt;"",D267&lt;&gt;""),(D267-C267),0)+IF(AND(E267&lt;&gt;"",F267&lt;&gt;""),(F267-E267),0)</f>
        <v/>
      </c>
      <c r="H267" s="8">
        <f>(G267*24)*$I$2</f>
        <v/>
      </c>
    </row>
    <row r="268" ht="15.75" customHeight="1">
      <c r="A268" s="6" t="n">
        <v>46289</v>
      </c>
      <c r="B268" t="inlineStr">
        <is>
          <t>Quinta-feira</t>
        </is>
      </c>
      <c r="G268" s="7">
        <f>IF(AND(C268&lt;&gt;"",D268&lt;&gt;""),(D268-C268),0)+IF(AND(E268&lt;&gt;"",F268&lt;&gt;""),(F268-E268),0)</f>
        <v/>
      </c>
      <c r="H268" s="8">
        <f>(G268*24)*$I$2</f>
        <v/>
      </c>
    </row>
    <row r="269" ht="15.75" customHeight="1">
      <c r="A269" s="6" t="n">
        <v>46290</v>
      </c>
      <c r="B269" t="inlineStr">
        <is>
          <t>Sexta-feira</t>
        </is>
      </c>
      <c r="G269" s="7">
        <f>IF(AND(C269&lt;&gt;"",D269&lt;&gt;""),(D269-C269),0)+IF(AND(E269&lt;&gt;"",F269&lt;&gt;""),(F269-E269),0)</f>
        <v/>
      </c>
      <c r="H269" s="8">
        <f>(G269*24)*$I$2</f>
        <v/>
      </c>
    </row>
    <row r="270" ht="15.75" customHeight="1">
      <c r="A270" s="6" t="n">
        <v>46291</v>
      </c>
      <c r="B270" t="inlineStr">
        <is>
          <t>Sábado</t>
        </is>
      </c>
      <c r="G270" s="7">
        <f>IF(AND(C270&lt;&gt;"",D270&lt;&gt;""),(D270-C270),0)+IF(AND(E270&lt;&gt;"",F270&lt;&gt;""),(F270-E270),0)</f>
        <v/>
      </c>
      <c r="H270" s="8">
        <f>(G270*24)*$I$2</f>
        <v/>
      </c>
    </row>
    <row r="271" ht="15.75" customHeight="1">
      <c r="A271" s="6" t="n">
        <v>46292</v>
      </c>
      <c r="B271" t="inlineStr">
        <is>
          <t>Domingo</t>
        </is>
      </c>
      <c r="G271" s="7">
        <f>IF(AND(C271&lt;&gt;"",D271&lt;&gt;""),(D271-C271),0)+IF(AND(E271&lt;&gt;"",F271&lt;&gt;""),(F271-E271),0)</f>
        <v/>
      </c>
      <c r="H271" s="8">
        <f>(G271*24)*$I$2</f>
        <v/>
      </c>
    </row>
    <row r="272" ht="15.75" customHeight="1">
      <c r="A272" s="6" t="n">
        <v>46293</v>
      </c>
      <c r="B272" t="inlineStr">
        <is>
          <t>Segunda-feira</t>
        </is>
      </c>
      <c r="G272" s="7">
        <f>IF(AND(C272&lt;&gt;"",D272&lt;&gt;""),(D272-C272),0)+IF(AND(E272&lt;&gt;"",F272&lt;&gt;""),(F272-E272),0)</f>
        <v/>
      </c>
      <c r="H272" s="8">
        <f>(G272*24)*$I$2</f>
        <v/>
      </c>
    </row>
    <row r="273" ht="15.75" customHeight="1">
      <c r="A273" s="6" t="n">
        <v>46294</v>
      </c>
      <c r="B273" t="inlineStr">
        <is>
          <t>Terça-feira</t>
        </is>
      </c>
      <c r="G273" s="7">
        <f>IF(AND(C273&lt;&gt;"",D273&lt;&gt;""),(D273-C273),0)+IF(AND(E273&lt;&gt;"",F273&lt;&gt;""),(F273-E273),0)</f>
        <v/>
      </c>
      <c r="H273" s="8">
        <f>(G273*24)*$I$2</f>
        <v/>
      </c>
    </row>
    <row r="274" ht="15.75" customHeight="1">
      <c r="A274" s="6" t="n">
        <v>46295</v>
      </c>
      <c r="B274" t="inlineStr">
        <is>
          <t>Quarta-feira</t>
        </is>
      </c>
      <c r="G274" s="7">
        <f>IF(AND(C274&lt;&gt;"",D274&lt;&gt;""),(D274-C274),0)+IF(AND(E274&lt;&gt;"",F274&lt;&gt;""),(F274-E274),0)</f>
        <v/>
      </c>
      <c r="H274" s="8">
        <f>(G274*24)*$I$2</f>
        <v/>
      </c>
    </row>
    <row r="275" ht="15.75" customHeight="1">
      <c r="A275" s="6" t="n">
        <v>46296</v>
      </c>
      <c r="B275" t="inlineStr">
        <is>
          <t>Quinta-feira</t>
        </is>
      </c>
      <c r="G275" s="7">
        <f>IF(AND(C275&lt;&gt;"",D275&lt;&gt;""),(D275-C275),0)+IF(AND(E275&lt;&gt;"",F275&lt;&gt;""),(F275-E275),0)</f>
        <v/>
      </c>
      <c r="H275" s="8">
        <f>(G275*24)*$I$2</f>
        <v/>
      </c>
    </row>
    <row r="276" ht="15.75" customHeight="1">
      <c r="A276" s="6" t="n">
        <v>46297</v>
      </c>
      <c r="B276" t="inlineStr">
        <is>
          <t>Sexta-feira</t>
        </is>
      </c>
      <c r="G276" s="7">
        <f>IF(AND(C276&lt;&gt;"",D276&lt;&gt;""),(D276-C276),0)+IF(AND(E276&lt;&gt;"",F276&lt;&gt;""),(F276-E276),0)</f>
        <v/>
      </c>
      <c r="H276" s="8">
        <f>(G276*24)*$I$2</f>
        <v/>
      </c>
    </row>
    <row r="277" ht="15.75" customHeight="1">
      <c r="A277" s="6" t="n">
        <v>46298</v>
      </c>
      <c r="B277" t="inlineStr">
        <is>
          <t>Sábado</t>
        </is>
      </c>
      <c r="G277" s="7">
        <f>IF(AND(C277&lt;&gt;"",D277&lt;&gt;""),(D277-C277),0)+IF(AND(E277&lt;&gt;"",F277&lt;&gt;""),(F277-E277),0)</f>
        <v/>
      </c>
      <c r="H277" s="8">
        <f>(G277*24)*$I$2</f>
        <v/>
      </c>
    </row>
    <row r="278" ht="15.75" customHeight="1">
      <c r="A278" s="6" t="n">
        <v>46299</v>
      </c>
      <c r="B278" t="inlineStr">
        <is>
          <t>Domingo</t>
        </is>
      </c>
      <c r="G278" s="7">
        <f>IF(AND(C278&lt;&gt;"",D278&lt;&gt;""),(D278-C278),0)+IF(AND(E278&lt;&gt;"",F278&lt;&gt;""),(F278-E278),0)</f>
        <v/>
      </c>
      <c r="H278" s="8">
        <f>(G278*24)*$I$2</f>
        <v/>
      </c>
    </row>
    <row r="279" ht="15.75" customHeight="1">
      <c r="A279" s="6" t="n">
        <v>46300</v>
      </c>
      <c r="B279" t="inlineStr">
        <is>
          <t>Segunda-feira</t>
        </is>
      </c>
      <c r="G279" s="7">
        <f>IF(AND(C279&lt;&gt;"",D279&lt;&gt;""),(D279-C279),0)+IF(AND(E279&lt;&gt;"",F279&lt;&gt;""),(F279-E279),0)</f>
        <v/>
      </c>
      <c r="H279" s="8">
        <f>(G279*24)*$I$2</f>
        <v/>
      </c>
    </row>
    <row r="280" ht="15.75" customHeight="1">
      <c r="A280" s="6" t="n">
        <v>46301</v>
      </c>
      <c r="B280" t="inlineStr">
        <is>
          <t>Terça-feira</t>
        </is>
      </c>
      <c r="G280" s="7">
        <f>IF(AND(C280&lt;&gt;"",D280&lt;&gt;""),(D280-C280),0)+IF(AND(E280&lt;&gt;"",F280&lt;&gt;""),(F280-E280),0)</f>
        <v/>
      </c>
      <c r="H280" s="8">
        <f>(G280*24)*$I$2</f>
        <v/>
      </c>
    </row>
    <row r="281" ht="15.75" customHeight="1">
      <c r="A281" s="6" t="n">
        <v>46302</v>
      </c>
      <c r="B281" t="inlineStr">
        <is>
          <t>Quarta-feira</t>
        </is>
      </c>
      <c r="G281" s="7">
        <f>IF(AND(C281&lt;&gt;"",D281&lt;&gt;""),(D281-C281),0)+IF(AND(E281&lt;&gt;"",F281&lt;&gt;""),(F281-E281),0)</f>
        <v/>
      </c>
      <c r="H281" s="8">
        <f>(G281*24)*$I$2</f>
        <v/>
      </c>
    </row>
    <row r="282" ht="15.75" customHeight="1">
      <c r="A282" s="6" t="n">
        <v>46303</v>
      </c>
      <c r="B282" t="inlineStr">
        <is>
          <t>Quinta-feira</t>
        </is>
      </c>
      <c r="G282" s="7">
        <f>IF(AND(C282&lt;&gt;"",D282&lt;&gt;""),(D282-C282),0)+IF(AND(E282&lt;&gt;"",F282&lt;&gt;""),(F282-E282),0)</f>
        <v/>
      </c>
      <c r="H282" s="8">
        <f>(G282*24)*$I$2</f>
        <v/>
      </c>
    </row>
    <row r="283" ht="15.75" customHeight="1">
      <c r="A283" s="6" t="n">
        <v>46304</v>
      </c>
      <c r="B283" t="inlineStr">
        <is>
          <t>Sexta-feira</t>
        </is>
      </c>
      <c r="G283" s="7">
        <f>IF(AND(C283&lt;&gt;"",D283&lt;&gt;""),(D283-C283),0)+IF(AND(E283&lt;&gt;"",F283&lt;&gt;""),(F283-E283),0)</f>
        <v/>
      </c>
      <c r="H283" s="8">
        <f>(G283*24)*$I$2</f>
        <v/>
      </c>
    </row>
    <row r="284" ht="15.75" customHeight="1">
      <c r="A284" s="6" t="n">
        <v>46305</v>
      </c>
      <c r="B284" t="inlineStr">
        <is>
          <t>Sábado</t>
        </is>
      </c>
      <c r="G284" s="7">
        <f>IF(AND(C284&lt;&gt;"",D284&lt;&gt;""),(D284-C284),0)+IF(AND(E284&lt;&gt;"",F284&lt;&gt;""),(F284-E284),0)</f>
        <v/>
      </c>
      <c r="H284" s="8">
        <f>(G284*24)*$I$2</f>
        <v/>
      </c>
    </row>
    <row r="285" ht="15.75" customHeight="1">
      <c r="A285" s="6" t="n">
        <v>46306</v>
      </c>
      <c r="B285" t="inlineStr">
        <is>
          <t>Domingo</t>
        </is>
      </c>
      <c r="G285" s="7">
        <f>IF(AND(C285&lt;&gt;"",D285&lt;&gt;""),(D285-C285),0)+IF(AND(E285&lt;&gt;"",F285&lt;&gt;""),(F285-E285),0)</f>
        <v/>
      </c>
      <c r="H285" s="8">
        <f>(G285*24)*$I$2</f>
        <v/>
      </c>
    </row>
    <row r="286" ht="15.75" customHeight="1">
      <c r="A286" s="6" t="n">
        <v>46307</v>
      </c>
      <c r="B286" t="inlineStr">
        <is>
          <t>Segunda-feira</t>
        </is>
      </c>
      <c r="G286" s="7">
        <f>IF(AND(C286&lt;&gt;"",D286&lt;&gt;""),(D286-C286),0)+IF(AND(E286&lt;&gt;"",F286&lt;&gt;""),(F286-E286),0)</f>
        <v/>
      </c>
      <c r="H286" s="8">
        <f>(G286*24)*$I$2</f>
        <v/>
      </c>
    </row>
    <row r="287" ht="15.75" customHeight="1">
      <c r="A287" s="6" t="n">
        <v>46308</v>
      </c>
      <c r="B287" t="inlineStr">
        <is>
          <t>Terça-feira</t>
        </is>
      </c>
      <c r="G287" s="7">
        <f>IF(AND(C287&lt;&gt;"",D287&lt;&gt;""),(D287-C287),0)+IF(AND(E287&lt;&gt;"",F287&lt;&gt;""),(F287-E287),0)</f>
        <v/>
      </c>
      <c r="H287" s="8">
        <f>(G287*24)*$I$2</f>
        <v/>
      </c>
    </row>
    <row r="288" ht="15.75" customHeight="1">
      <c r="A288" s="6" t="n">
        <v>46309</v>
      </c>
      <c r="B288" t="inlineStr">
        <is>
          <t>Quarta-feira</t>
        </is>
      </c>
      <c r="G288" s="7">
        <f>IF(AND(C288&lt;&gt;"",D288&lt;&gt;""),(D288-C288),0)+IF(AND(E288&lt;&gt;"",F288&lt;&gt;""),(F288-E288),0)</f>
        <v/>
      </c>
      <c r="H288" s="8">
        <f>(G288*24)*$I$2</f>
        <v/>
      </c>
    </row>
    <row r="289" ht="15.75" customHeight="1">
      <c r="A289" s="6" t="n">
        <v>46310</v>
      </c>
      <c r="B289" t="inlineStr">
        <is>
          <t>Quinta-feira</t>
        </is>
      </c>
      <c r="G289" s="7">
        <f>IF(AND(C289&lt;&gt;"",D289&lt;&gt;""),(D289-C289),0)+IF(AND(E289&lt;&gt;"",F289&lt;&gt;""),(F289-E289),0)</f>
        <v/>
      </c>
      <c r="H289" s="8">
        <f>(G289*24)*$I$2</f>
        <v/>
      </c>
    </row>
    <row r="290" ht="15.75" customHeight="1">
      <c r="A290" s="6" t="n">
        <v>46311</v>
      </c>
      <c r="B290" t="inlineStr">
        <is>
          <t>Sexta-feira</t>
        </is>
      </c>
      <c r="G290" s="7">
        <f>IF(AND(C290&lt;&gt;"",D290&lt;&gt;""),(D290-C290),0)+IF(AND(E290&lt;&gt;"",F290&lt;&gt;""),(F290-E290),0)</f>
        <v/>
      </c>
      <c r="H290" s="8">
        <f>(G290*24)*$I$2</f>
        <v/>
      </c>
    </row>
    <row r="291" ht="15.75" customHeight="1">
      <c r="A291" s="6" t="n">
        <v>46312</v>
      </c>
      <c r="B291" t="inlineStr">
        <is>
          <t>Sábado</t>
        </is>
      </c>
      <c r="G291" s="7">
        <f>IF(AND(C291&lt;&gt;"",D291&lt;&gt;""),(D291-C291),0)+IF(AND(E291&lt;&gt;"",F291&lt;&gt;""),(F291-E291),0)</f>
        <v/>
      </c>
      <c r="H291" s="8">
        <f>(G291*24)*$I$2</f>
        <v/>
      </c>
    </row>
    <row r="292" ht="15.75" customHeight="1">
      <c r="A292" s="6" t="n">
        <v>46313</v>
      </c>
      <c r="B292" t="inlineStr">
        <is>
          <t>Domingo</t>
        </is>
      </c>
      <c r="G292" s="7">
        <f>IF(AND(C292&lt;&gt;"",D292&lt;&gt;""),(D292-C292),0)+IF(AND(E292&lt;&gt;"",F292&lt;&gt;""),(F292-E292),0)</f>
        <v/>
      </c>
      <c r="H292" s="8">
        <f>(G292*24)*$I$2</f>
        <v/>
      </c>
    </row>
    <row r="293" ht="15.75" customHeight="1">
      <c r="A293" s="6" t="n">
        <v>46314</v>
      </c>
      <c r="B293" t="inlineStr">
        <is>
          <t>Segunda-feira</t>
        </is>
      </c>
      <c r="G293" s="7">
        <f>IF(AND(C293&lt;&gt;"",D293&lt;&gt;""),(D293-C293),0)+IF(AND(E293&lt;&gt;"",F293&lt;&gt;""),(F293-E293),0)</f>
        <v/>
      </c>
      <c r="H293" s="8">
        <f>(G293*24)*$I$2</f>
        <v/>
      </c>
    </row>
    <row r="294" ht="15.75" customHeight="1">
      <c r="A294" s="6" t="n">
        <v>46315</v>
      </c>
      <c r="B294" t="inlineStr">
        <is>
          <t>Terça-feira</t>
        </is>
      </c>
      <c r="G294" s="7">
        <f>IF(AND(C294&lt;&gt;"",D294&lt;&gt;""),(D294-C294),0)+IF(AND(E294&lt;&gt;"",F294&lt;&gt;""),(F294-E294),0)</f>
        <v/>
      </c>
      <c r="H294" s="8">
        <f>(G294*24)*$I$2</f>
        <v/>
      </c>
    </row>
    <row r="295" ht="15.75" customHeight="1">
      <c r="A295" s="6" t="n">
        <v>46316</v>
      </c>
      <c r="B295" t="inlineStr">
        <is>
          <t>Quarta-feira</t>
        </is>
      </c>
      <c r="G295" s="7">
        <f>IF(AND(C295&lt;&gt;"",D295&lt;&gt;""),(D295-C295),0)+IF(AND(E295&lt;&gt;"",F295&lt;&gt;""),(F295-E295),0)</f>
        <v/>
      </c>
      <c r="H295" s="8">
        <f>(G295*24)*$I$2</f>
        <v/>
      </c>
    </row>
    <row r="296" ht="15.75" customHeight="1">
      <c r="A296" s="6" t="n">
        <v>46317</v>
      </c>
      <c r="B296" t="inlineStr">
        <is>
          <t>Quinta-feira</t>
        </is>
      </c>
      <c r="G296" s="7">
        <f>IF(AND(C296&lt;&gt;"",D296&lt;&gt;""),(D296-C296),0)+IF(AND(E296&lt;&gt;"",F296&lt;&gt;""),(F296-E296),0)</f>
        <v/>
      </c>
      <c r="H296" s="8">
        <f>(G296*24)*$I$2</f>
        <v/>
      </c>
    </row>
    <row r="297" ht="15.75" customHeight="1">
      <c r="A297" s="6" t="n">
        <v>46318</v>
      </c>
      <c r="B297" t="inlineStr">
        <is>
          <t>Sexta-feira</t>
        </is>
      </c>
      <c r="G297" s="7">
        <f>IF(AND(C297&lt;&gt;"",D297&lt;&gt;""),(D297-C297),0)+IF(AND(E297&lt;&gt;"",F297&lt;&gt;""),(F297-E297),0)</f>
        <v/>
      </c>
      <c r="H297" s="8">
        <f>(G297*24)*$I$2</f>
        <v/>
      </c>
    </row>
    <row r="298" ht="15.75" customHeight="1">
      <c r="A298" s="6" t="n">
        <v>46319</v>
      </c>
      <c r="B298" t="inlineStr">
        <is>
          <t>Sábado</t>
        </is>
      </c>
      <c r="G298" s="7">
        <f>IF(AND(C298&lt;&gt;"",D298&lt;&gt;""),(D298-C298),0)+IF(AND(E298&lt;&gt;"",F298&lt;&gt;""),(F298-E298),0)</f>
        <v/>
      </c>
      <c r="H298" s="8">
        <f>(G298*24)*$I$2</f>
        <v/>
      </c>
    </row>
    <row r="299" ht="15.75" customHeight="1">
      <c r="A299" s="6" t="n">
        <v>46320</v>
      </c>
      <c r="B299" t="inlineStr">
        <is>
          <t>Domingo</t>
        </is>
      </c>
      <c r="G299" s="7">
        <f>IF(AND(C299&lt;&gt;"",D299&lt;&gt;""),(D299-C299),0)+IF(AND(E299&lt;&gt;"",F299&lt;&gt;""),(F299-E299),0)</f>
        <v/>
      </c>
      <c r="H299" s="8">
        <f>(G299*24)*$I$2</f>
        <v/>
      </c>
    </row>
    <row r="300" ht="15.75" customHeight="1">
      <c r="A300" s="6" t="n">
        <v>46321</v>
      </c>
      <c r="B300" t="inlineStr">
        <is>
          <t>Segunda-feira</t>
        </is>
      </c>
      <c r="G300" s="7">
        <f>IF(AND(C300&lt;&gt;"",D300&lt;&gt;""),(D300-C300),0)+IF(AND(E300&lt;&gt;"",F300&lt;&gt;""),(F300-E300),0)</f>
        <v/>
      </c>
      <c r="H300" s="8">
        <f>(G300*24)*$I$2</f>
        <v/>
      </c>
    </row>
    <row r="301" ht="15.75" customHeight="1">
      <c r="A301" s="6" t="n">
        <v>46322</v>
      </c>
      <c r="B301" t="inlineStr">
        <is>
          <t>Terça-feira</t>
        </is>
      </c>
      <c r="G301" s="7">
        <f>IF(AND(C301&lt;&gt;"",D301&lt;&gt;""),(D301-C301),0)+IF(AND(E301&lt;&gt;"",F301&lt;&gt;""),(F301-E301),0)</f>
        <v/>
      </c>
      <c r="H301" s="8">
        <f>(G301*24)*$I$2</f>
        <v/>
      </c>
    </row>
    <row r="302" ht="15.75" customHeight="1">
      <c r="A302" s="6" t="n">
        <v>46323</v>
      </c>
      <c r="B302" t="inlineStr">
        <is>
          <t>Quarta-feira</t>
        </is>
      </c>
      <c r="G302" s="7">
        <f>IF(AND(C302&lt;&gt;"",D302&lt;&gt;""),(D302-C302),0)+IF(AND(E302&lt;&gt;"",F302&lt;&gt;""),(F302-E302),0)</f>
        <v/>
      </c>
      <c r="H302" s="8">
        <f>(G302*24)*$I$2</f>
        <v/>
      </c>
    </row>
    <row r="303" ht="15.75" customHeight="1">
      <c r="A303" s="6" t="n">
        <v>46324</v>
      </c>
      <c r="B303" t="inlineStr">
        <is>
          <t>Quinta-feira</t>
        </is>
      </c>
      <c r="G303" s="7">
        <f>IF(AND(C303&lt;&gt;"",D303&lt;&gt;""),(D303-C303),0)+IF(AND(E303&lt;&gt;"",F303&lt;&gt;""),(F303-E303),0)</f>
        <v/>
      </c>
      <c r="H303" s="8">
        <f>(G303*24)*$I$2</f>
        <v/>
      </c>
    </row>
    <row r="304" ht="15.75" customHeight="1">
      <c r="A304" s="6" t="n">
        <v>46325</v>
      </c>
      <c r="B304" t="inlineStr">
        <is>
          <t>Sexta-feira</t>
        </is>
      </c>
      <c r="G304" s="7">
        <f>IF(AND(C304&lt;&gt;"",D304&lt;&gt;""),(D304-C304),0)+IF(AND(E304&lt;&gt;"",F304&lt;&gt;""),(F304-E304),0)</f>
        <v/>
      </c>
      <c r="H304" s="8">
        <f>(G304*24)*$I$2</f>
        <v/>
      </c>
    </row>
    <row r="305" ht="15.75" customHeight="1">
      <c r="A305" s="6" t="n">
        <v>46326</v>
      </c>
      <c r="B305" t="inlineStr">
        <is>
          <t>Sábado</t>
        </is>
      </c>
      <c r="G305" s="7">
        <f>IF(AND(C305&lt;&gt;"",D305&lt;&gt;""),(D305-C305),0)+IF(AND(E305&lt;&gt;"",F305&lt;&gt;""),(F305-E305),0)</f>
        <v/>
      </c>
      <c r="H305" s="8">
        <f>(G305*24)*$I$2</f>
        <v/>
      </c>
    </row>
    <row r="306" ht="15.75" customHeight="1">
      <c r="A306" s="6" t="n">
        <v>46327</v>
      </c>
      <c r="B306" t="inlineStr">
        <is>
          <t>Domingo</t>
        </is>
      </c>
      <c r="G306" s="7">
        <f>IF(AND(C306&lt;&gt;"",D306&lt;&gt;""),(D306-C306),0)+IF(AND(E306&lt;&gt;"",F306&lt;&gt;""),(F306-E306),0)</f>
        <v/>
      </c>
      <c r="H306" s="8">
        <f>(G306*24)*$I$2</f>
        <v/>
      </c>
    </row>
    <row r="307" ht="15.75" customHeight="1">
      <c r="A307" s="6" t="n">
        <v>46328</v>
      </c>
      <c r="B307" t="inlineStr">
        <is>
          <t>Segunda-feira</t>
        </is>
      </c>
      <c r="G307" s="7">
        <f>IF(AND(C307&lt;&gt;"",D307&lt;&gt;""),(D307-C307),0)+IF(AND(E307&lt;&gt;"",F307&lt;&gt;""),(F307-E307),0)</f>
        <v/>
      </c>
      <c r="H307" s="8">
        <f>(G307*24)*$I$2</f>
        <v/>
      </c>
    </row>
    <row r="308" ht="15.75" customHeight="1">
      <c r="A308" s="6" t="n">
        <v>46329</v>
      </c>
      <c r="B308" t="inlineStr">
        <is>
          <t>Terça-feira</t>
        </is>
      </c>
      <c r="G308" s="7">
        <f>IF(AND(C308&lt;&gt;"",D308&lt;&gt;""),(D308-C308),0)+IF(AND(E308&lt;&gt;"",F308&lt;&gt;""),(F308-E308),0)</f>
        <v/>
      </c>
      <c r="H308" s="8">
        <f>(G308*24)*$I$2</f>
        <v/>
      </c>
    </row>
    <row r="309" ht="15.75" customHeight="1">
      <c r="A309" s="6" t="n">
        <v>46330</v>
      </c>
      <c r="B309" t="inlineStr">
        <is>
          <t>Quarta-feira</t>
        </is>
      </c>
      <c r="G309" s="7">
        <f>IF(AND(C309&lt;&gt;"",D309&lt;&gt;""),(D309-C309),0)+IF(AND(E309&lt;&gt;"",F309&lt;&gt;""),(F309-E309),0)</f>
        <v/>
      </c>
      <c r="H309" s="8">
        <f>(G309*24)*$I$2</f>
        <v/>
      </c>
    </row>
    <row r="310" ht="15.75" customHeight="1">
      <c r="A310" s="6" t="n">
        <v>46331</v>
      </c>
      <c r="B310" t="inlineStr">
        <is>
          <t>Quinta-feira</t>
        </is>
      </c>
      <c r="G310" s="7">
        <f>IF(AND(C310&lt;&gt;"",D310&lt;&gt;""),(D310-C310),0)+IF(AND(E310&lt;&gt;"",F310&lt;&gt;""),(F310-E310),0)</f>
        <v/>
      </c>
      <c r="H310" s="8">
        <f>(G310*24)*$I$2</f>
        <v/>
      </c>
    </row>
    <row r="311" ht="15.75" customHeight="1">
      <c r="A311" s="6" t="n">
        <v>46332</v>
      </c>
      <c r="B311" t="inlineStr">
        <is>
          <t>Sexta-feira</t>
        </is>
      </c>
      <c r="G311" s="7">
        <f>IF(AND(C311&lt;&gt;"",D311&lt;&gt;""),(D311-C311),0)+IF(AND(E311&lt;&gt;"",F311&lt;&gt;""),(F311-E311),0)</f>
        <v/>
      </c>
      <c r="H311" s="8">
        <f>(G311*24)*$I$2</f>
        <v/>
      </c>
    </row>
    <row r="312" ht="15.75" customHeight="1">
      <c r="A312" s="6" t="n">
        <v>46333</v>
      </c>
      <c r="B312" t="inlineStr">
        <is>
          <t>Sábado</t>
        </is>
      </c>
      <c r="G312" s="7">
        <f>IF(AND(C312&lt;&gt;"",D312&lt;&gt;""),(D312-C312),0)+IF(AND(E312&lt;&gt;"",F312&lt;&gt;""),(F312-E312),0)</f>
        <v/>
      </c>
      <c r="H312" s="8">
        <f>(G312*24)*$I$2</f>
        <v/>
      </c>
    </row>
    <row r="313" ht="15.75" customHeight="1">
      <c r="A313" s="6" t="n">
        <v>46334</v>
      </c>
      <c r="B313" t="inlineStr">
        <is>
          <t>Domingo</t>
        </is>
      </c>
      <c r="G313" s="7">
        <f>IF(AND(C313&lt;&gt;"",D313&lt;&gt;""),(D313-C313),0)+IF(AND(E313&lt;&gt;"",F313&lt;&gt;""),(F313-E313),0)</f>
        <v/>
      </c>
      <c r="H313" s="8">
        <f>(G313*24)*$I$2</f>
        <v/>
      </c>
    </row>
    <row r="314" ht="15.75" customHeight="1">
      <c r="A314" s="6" t="n">
        <v>46335</v>
      </c>
      <c r="B314" t="inlineStr">
        <is>
          <t>Segunda-feira</t>
        </is>
      </c>
      <c r="G314" s="7">
        <f>IF(AND(C314&lt;&gt;"",D314&lt;&gt;""),(D314-C314),0)+IF(AND(E314&lt;&gt;"",F314&lt;&gt;""),(F314-E314),0)</f>
        <v/>
      </c>
      <c r="H314" s="8">
        <f>(G314*24)*$I$2</f>
        <v/>
      </c>
    </row>
    <row r="315" ht="15.75" customHeight="1">
      <c r="A315" s="6" t="n">
        <v>46336</v>
      </c>
      <c r="B315" t="inlineStr">
        <is>
          <t>Terça-feira</t>
        </is>
      </c>
      <c r="G315" s="7">
        <f>IF(AND(C315&lt;&gt;"",D315&lt;&gt;""),(D315-C315),0)+IF(AND(E315&lt;&gt;"",F315&lt;&gt;""),(F315-E315),0)</f>
        <v/>
      </c>
      <c r="H315" s="8">
        <f>(G315*24)*$I$2</f>
        <v/>
      </c>
    </row>
    <row r="316" ht="15.75" customHeight="1">
      <c r="A316" s="6" t="n">
        <v>46337</v>
      </c>
      <c r="B316" t="inlineStr">
        <is>
          <t>Quarta-feira</t>
        </is>
      </c>
      <c r="G316" s="7">
        <f>IF(AND(C316&lt;&gt;"",D316&lt;&gt;""),(D316-C316),0)+IF(AND(E316&lt;&gt;"",F316&lt;&gt;""),(F316-E316),0)</f>
        <v/>
      </c>
      <c r="H316" s="8">
        <f>(G316*24)*$I$2</f>
        <v/>
      </c>
    </row>
    <row r="317" ht="15.75" customHeight="1">
      <c r="A317" s="6" t="n">
        <v>46338</v>
      </c>
      <c r="B317" t="inlineStr">
        <is>
          <t>Quinta-feira</t>
        </is>
      </c>
      <c r="G317" s="7">
        <f>IF(AND(C317&lt;&gt;"",D317&lt;&gt;""),(D317-C317),0)+IF(AND(E317&lt;&gt;"",F317&lt;&gt;""),(F317-E317),0)</f>
        <v/>
      </c>
      <c r="H317" s="8">
        <f>(G317*24)*$I$2</f>
        <v/>
      </c>
    </row>
    <row r="318" ht="15.75" customHeight="1">
      <c r="A318" s="6" t="n">
        <v>46339</v>
      </c>
      <c r="B318" t="inlineStr">
        <is>
          <t>Sexta-feira</t>
        </is>
      </c>
      <c r="G318" s="7">
        <f>IF(AND(C318&lt;&gt;"",D318&lt;&gt;""),(D318-C318),0)+IF(AND(E318&lt;&gt;"",F318&lt;&gt;""),(F318-E318),0)</f>
        <v/>
      </c>
      <c r="H318" s="8">
        <f>(G318*24)*$I$2</f>
        <v/>
      </c>
    </row>
    <row r="319" ht="15.75" customHeight="1">
      <c r="A319" s="6" t="n">
        <v>46340</v>
      </c>
      <c r="B319" t="inlineStr">
        <is>
          <t>Sábado</t>
        </is>
      </c>
      <c r="G319" s="7">
        <f>IF(AND(C319&lt;&gt;"",D319&lt;&gt;""),(D319-C319),0)+IF(AND(E319&lt;&gt;"",F319&lt;&gt;""),(F319-E319),0)</f>
        <v/>
      </c>
      <c r="H319" s="8">
        <f>(G319*24)*$I$2</f>
        <v/>
      </c>
    </row>
    <row r="320" ht="15.75" customHeight="1">
      <c r="A320" s="6" t="n">
        <v>46341</v>
      </c>
      <c r="B320" t="inlineStr">
        <is>
          <t>Domingo</t>
        </is>
      </c>
      <c r="G320" s="7">
        <f>IF(AND(C320&lt;&gt;"",D320&lt;&gt;""),(D320-C320),0)+IF(AND(E320&lt;&gt;"",F320&lt;&gt;""),(F320-E320),0)</f>
        <v/>
      </c>
      <c r="H320" s="8">
        <f>(G320*24)*$I$2</f>
        <v/>
      </c>
    </row>
    <row r="321" ht="15.75" customHeight="1">
      <c r="A321" s="6" t="n">
        <v>46342</v>
      </c>
      <c r="B321" t="inlineStr">
        <is>
          <t>Segunda-feira</t>
        </is>
      </c>
      <c r="G321" s="7">
        <f>IF(AND(C321&lt;&gt;"",D321&lt;&gt;""),(D321-C321),0)+IF(AND(E321&lt;&gt;"",F321&lt;&gt;""),(F321-E321),0)</f>
        <v/>
      </c>
      <c r="H321" s="8">
        <f>(G321*24)*$I$2</f>
        <v/>
      </c>
    </row>
    <row r="322" ht="15.75" customHeight="1">
      <c r="A322" s="6" t="n">
        <v>46343</v>
      </c>
      <c r="B322" t="inlineStr">
        <is>
          <t>Terça-feira</t>
        </is>
      </c>
      <c r="G322" s="7">
        <f>IF(AND(C322&lt;&gt;"",D322&lt;&gt;""),(D322-C322),0)+IF(AND(E322&lt;&gt;"",F322&lt;&gt;""),(F322-E322),0)</f>
        <v/>
      </c>
      <c r="H322" s="8">
        <f>(G322*24)*$I$2</f>
        <v/>
      </c>
    </row>
    <row r="323" ht="15.75" customHeight="1">
      <c r="A323" s="6" t="n">
        <v>46344</v>
      </c>
      <c r="B323" t="inlineStr">
        <is>
          <t>Quarta-feira</t>
        </is>
      </c>
      <c r="G323" s="7">
        <f>IF(AND(C323&lt;&gt;"",D323&lt;&gt;""),(D323-C323),0)+IF(AND(E323&lt;&gt;"",F323&lt;&gt;""),(F323-E323),0)</f>
        <v/>
      </c>
      <c r="H323" s="8">
        <f>(G323*24)*$I$2</f>
        <v/>
      </c>
    </row>
    <row r="324" ht="15.75" customHeight="1">
      <c r="A324" s="6" t="n">
        <v>46345</v>
      </c>
      <c r="B324" t="inlineStr">
        <is>
          <t>Quinta-feira</t>
        </is>
      </c>
      <c r="G324" s="7">
        <f>IF(AND(C324&lt;&gt;"",D324&lt;&gt;""),(D324-C324),0)+IF(AND(E324&lt;&gt;"",F324&lt;&gt;""),(F324-E324),0)</f>
        <v/>
      </c>
      <c r="H324" s="8">
        <f>(G324*24)*$I$2</f>
        <v/>
      </c>
    </row>
    <row r="325" ht="15.75" customHeight="1">
      <c r="A325" s="6" t="n">
        <v>46346</v>
      </c>
      <c r="B325" t="inlineStr">
        <is>
          <t>Sexta-feira</t>
        </is>
      </c>
      <c r="G325" s="7">
        <f>IF(AND(C325&lt;&gt;"",D325&lt;&gt;""),(D325-C325),0)+IF(AND(E325&lt;&gt;"",F325&lt;&gt;""),(F325-E325),0)</f>
        <v/>
      </c>
      <c r="H325" s="8">
        <f>(G325*24)*$I$2</f>
        <v/>
      </c>
    </row>
    <row r="326" ht="15.75" customHeight="1">
      <c r="A326" s="6" t="n">
        <v>46347</v>
      </c>
      <c r="B326" t="inlineStr">
        <is>
          <t>Sábado</t>
        </is>
      </c>
      <c r="G326" s="7">
        <f>IF(AND(C326&lt;&gt;"",D326&lt;&gt;""),(D326-C326),0)+IF(AND(E326&lt;&gt;"",F326&lt;&gt;""),(F326-E326),0)</f>
        <v/>
      </c>
      <c r="H326" s="8">
        <f>(G326*24)*$I$2</f>
        <v/>
      </c>
    </row>
    <row r="327" ht="15.75" customHeight="1">
      <c r="A327" s="6" t="n">
        <v>46348</v>
      </c>
      <c r="B327" t="inlineStr">
        <is>
          <t>Domingo</t>
        </is>
      </c>
      <c r="G327" s="7">
        <f>IF(AND(C327&lt;&gt;"",D327&lt;&gt;""),(D327-C327),0)+IF(AND(E327&lt;&gt;"",F327&lt;&gt;""),(F327-E327),0)</f>
        <v/>
      </c>
      <c r="H327" s="8">
        <f>(G327*24)*$I$2</f>
        <v/>
      </c>
    </row>
    <row r="328" ht="15.75" customHeight="1">
      <c r="A328" s="6" t="n">
        <v>46349</v>
      </c>
      <c r="B328" t="inlineStr">
        <is>
          <t>Segunda-feira</t>
        </is>
      </c>
      <c r="G328" s="7">
        <f>IF(AND(C328&lt;&gt;"",D328&lt;&gt;""),(D328-C328),0)+IF(AND(E328&lt;&gt;"",F328&lt;&gt;""),(F328-E328),0)</f>
        <v/>
      </c>
      <c r="H328" s="8">
        <f>(G328*24)*$I$2</f>
        <v/>
      </c>
    </row>
    <row r="329" ht="15.75" customHeight="1">
      <c r="A329" s="6" t="n">
        <v>46350</v>
      </c>
      <c r="B329" t="inlineStr">
        <is>
          <t>Terça-feira</t>
        </is>
      </c>
      <c r="G329" s="7">
        <f>IF(AND(C329&lt;&gt;"",D329&lt;&gt;""),(D329-C329),0)+IF(AND(E329&lt;&gt;"",F329&lt;&gt;""),(F329-E329),0)</f>
        <v/>
      </c>
      <c r="H329" s="8">
        <f>(G329*24)*$I$2</f>
        <v/>
      </c>
    </row>
    <row r="330" ht="15.75" customHeight="1">
      <c r="A330" s="6" t="n">
        <v>46351</v>
      </c>
      <c r="B330" t="inlineStr">
        <is>
          <t>Quarta-feira</t>
        </is>
      </c>
      <c r="G330" s="7">
        <f>IF(AND(C330&lt;&gt;"",D330&lt;&gt;""),(D330-C330),0)+IF(AND(E330&lt;&gt;"",F330&lt;&gt;""),(F330-E330),0)</f>
        <v/>
      </c>
      <c r="H330" s="8">
        <f>(G330*24)*$I$2</f>
        <v/>
      </c>
    </row>
    <row r="331" ht="15.75" customHeight="1">
      <c r="A331" s="6" t="n">
        <v>46352</v>
      </c>
      <c r="B331" t="inlineStr">
        <is>
          <t>Quinta-feira</t>
        </is>
      </c>
      <c r="G331" s="7">
        <f>IF(AND(C331&lt;&gt;"",D331&lt;&gt;""),(D331-C331),0)+IF(AND(E331&lt;&gt;"",F331&lt;&gt;""),(F331-E331),0)</f>
        <v/>
      </c>
      <c r="H331" s="8">
        <f>(G331*24)*$I$2</f>
        <v/>
      </c>
    </row>
    <row r="332" ht="15.75" customHeight="1">
      <c r="A332" s="6" t="n">
        <v>46353</v>
      </c>
      <c r="B332" t="inlineStr">
        <is>
          <t>Sexta-feira</t>
        </is>
      </c>
      <c r="G332" s="7">
        <f>IF(AND(C332&lt;&gt;"",D332&lt;&gt;""),(D332-C332),0)+IF(AND(E332&lt;&gt;"",F332&lt;&gt;""),(F332-E332),0)</f>
        <v/>
      </c>
      <c r="H332" s="8">
        <f>(G332*24)*$I$2</f>
        <v/>
      </c>
    </row>
    <row r="333" ht="15.75" customHeight="1">
      <c r="A333" s="6" t="n">
        <v>46354</v>
      </c>
      <c r="B333" t="inlineStr">
        <is>
          <t>Sábado</t>
        </is>
      </c>
      <c r="G333" s="7">
        <f>IF(AND(C333&lt;&gt;"",D333&lt;&gt;""),(D333-C333),0)+IF(AND(E333&lt;&gt;"",F333&lt;&gt;""),(F333-E333),0)</f>
        <v/>
      </c>
      <c r="H333" s="8">
        <f>(G333*24)*$I$2</f>
        <v/>
      </c>
    </row>
    <row r="334" ht="15.75" customHeight="1">
      <c r="A334" s="6" t="n">
        <v>46355</v>
      </c>
      <c r="B334" t="inlineStr">
        <is>
          <t>Domingo</t>
        </is>
      </c>
      <c r="G334" s="7">
        <f>IF(AND(C334&lt;&gt;"",D334&lt;&gt;""),(D334-C334),0)+IF(AND(E334&lt;&gt;"",F334&lt;&gt;""),(F334-E334),0)</f>
        <v/>
      </c>
      <c r="H334" s="8">
        <f>(G334*24)*$I$2</f>
        <v/>
      </c>
    </row>
    <row r="335" ht="15.75" customHeight="1">
      <c r="A335" s="6" t="n">
        <v>46356</v>
      </c>
      <c r="B335" t="inlineStr">
        <is>
          <t>Segunda-feira</t>
        </is>
      </c>
      <c r="G335" s="7">
        <f>IF(AND(C335&lt;&gt;"",D335&lt;&gt;""),(D335-C335),0)+IF(AND(E335&lt;&gt;"",F335&lt;&gt;""),(F335-E335),0)</f>
        <v/>
      </c>
      <c r="H335" s="8">
        <f>(G335*24)*$I$2</f>
        <v/>
      </c>
    </row>
    <row r="336" ht="15.75" customHeight="1">
      <c r="A336" s="6" t="n">
        <v>46357</v>
      </c>
      <c r="B336" t="inlineStr">
        <is>
          <t>Terça-feira</t>
        </is>
      </c>
      <c r="G336" s="7">
        <f>IF(AND(C336&lt;&gt;"",D336&lt;&gt;""),(D336-C336),0)+IF(AND(E336&lt;&gt;"",F336&lt;&gt;""),(F336-E336),0)</f>
        <v/>
      </c>
      <c r="H336" s="8">
        <f>(G336*24)*$I$2</f>
        <v/>
      </c>
    </row>
    <row r="337" ht="15.75" customHeight="1">
      <c r="A337" s="6" t="n">
        <v>46358</v>
      </c>
      <c r="B337" t="inlineStr">
        <is>
          <t>Quarta-feira</t>
        </is>
      </c>
      <c r="G337" s="7">
        <f>IF(AND(C337&lt;&gt;"",D337&lt;&gt;""),(D337-C337),0)+IF(AND(E337&lt;&gt;"",F337&lt;&gt;""),(F337-E337),0)</f>
        <v/>
      </c>
      <c r="H337" s="8">
        <f>(G337*24)*$I$2</f>
        <v/>
      </c>
    </row>
    <row r="338" ht="15.75" customHeight="1">
      <c r="A338" s="6" t="n">
        <v>46359</v>
      </c>
      <c r="B338" t="inlineStr">
        <is>
          <t>Quinta-feira</t>
        </is>
      </c>
      <c r="G338" s="7">
        <f>IF(AND(C338&lt;&gt;"",D338&lt;&gt;""),(D338-C338),0)+IF(AND(E338&lt;&gt;"",F338&lt;&gt;""),(F338-E338),0)</f>
        <v/>
      </c>
      <c r="H338" s="8">
        <f>(G338*24)*$I$2</f>
        <v/>
      </c>
    </row>
    <row r="339" ht="15.75" customHeight="1">
      <c r="A339" s="6" t="n">
        <v>46360</v>
      </c>
      <c r="B339" t="inlineStr">
        <is>
          <t>Sexta-feira</t>
        </is>
      </c>
      <c r="G339" s="7">
        <f>IF(AND(C339&lt;&gt;"",D339&lt;&gt;""),(D339-C339),0)+IF(AND(E339&lt;&gt;"",F339&lt;&gt;""),(F339-E339),0)</f>
        <v/>
      </c>
      <c r="H339" s="8">
        <f>(G339*24)*$I$2</f>
        <v/>
      </c>
    </row>
    <row r="340" ht="15.75" customHeight="1">
      <c r="A340" s="6" t="n">
        <v>46361</v>
      </c>
      <c r="B340" t="inlineStr">
        <is>
          <t>Sábado</t>
        </is>
      </c>
      <c r="G340" s="7">
        <f>IF(AND(C340&lt;&gt;"",D340&lt;&gt;""),(D340-C340),0)+IF(AND(E340&lt;&gt;"",F340&lt;&gt;""),(F340-E340),0)</f>
        <v/>
      </c>
      <c r="H340" s="8">
        <f>(G340*24)*$I$2</f>
        <v/>
      </c>
    </row>
    <row r="341" ht="15.75" customHeight="1">
      <c r="A341" s="6" t="n">
        <v>46362</v>
      </c>
      <c r="B341" t="inlineStr">
        <is>
          <t>Domingo</t>
        </is>
      </c>
      <c r="G341" s="7">
        <f>IF(AND(C341&lt;&gt;"",D341&lt;&gt;""),(D341-C341),0)+IF(AND(E341&lt;&gt;"",F341&lt;&gt;""),(F341-E341),0)</f>
        <v/>
      </c>
      <c r="H341" s="8">
        <f>(G341*24)*$I$2</f>
        <v/>
      </c>
    </row>
    <row r="342" ht="15.75" customHeight="1">
      <c r="A342" s="6" t="n">
        <v>46363</v>
      </c>
      <c r="B342" t="inlineStr">
        <is>
          <t>Segunda-feira</t>
        </is>
      </c>
      <c r="G342" s="7">
        <f>IF(AND(C342&lt;&gt;"",D342&lt;&gt;""),(D342-C342),0)+IF(AND(E342&lt;&gt;"",F342&lt;&gt;""),(F342-E342),0)</f>
        <v/>
      </c>
      <c r="H342" s="8">
        <f>(G342*24)*$I$2</f>
        <v/>
      </c>
    </row>
    <row r="343" ht="15.75" customHeight="1">
      <c r="A343" s="6" t="n">
        <v>46364</v>
      </c>
      <c r="B343" t="inlineStr">
        <is>
          <t>Terça-feira</t>
        </is>
      </c>
      <c r="G343" s="7">
        <f>IF(AND(C343&lt;&gt;"",D343&lt;&gt;""),(D343-C343),0)+IF(AND(E343&lt;&gt;"",F343&lt;&gt;""),(F343-E343),0)</f>
        <v/>
      </c>
      <c r="H343" s="8">
        <f>(G343*24)*$I$2</f>
        <v/>
      </c>
    </row>
    <row r="344" ht="15.75" customHeight="1">
      <c r="A344" s="6" t="n">
        <v>46365</v>
      </c>
      <c r="B344" t="inlineStr">
        <is>
          <t>Quarta-feira</t>
        </is>
      </c>
      <c r="G344" s="7">
        <f>IF(AND(C344&lt;&gt;"",D344&lt;&gt;""),(D344-C344),0)+IF(AND(E344&lt;&gt;"",F344&lt;&gt;""),(F344-E344),0)</f>
        <v/>
      </c>
      <c r="H344" s="8">
        <f>(G344*24)*$I$2</f>
        <v/>
      </c>
    </row>
    <row r="345" ht="15.75" customHeight="1">
      <c r="A345" s="6" t="n">
        <v>46366</v>
      </c>
      <c r="B345" t="inlineStr">
        <is>
          <t>Quinta-feira</t>
        </is>
      </c>
      <c r="G345" s="7">
        <f>IF(AND(C345&lt;&gt;"",D345&lt;&gt;""),(D345-C345),0)+IF(AND(E345&lt;&gt;"",F345&lt;&gt;""),(F345-E345),0)</f>
        <v/>
      </c>
      <c r="H345" s="8">
        <f>(G345*24)*$I$2</f>
        <v/>
      </c>
    </row>
    <row r="346" ht="15.75" customHeight="1">
      <c r="A346" s="6" t="n">
        <v>46367</v>
      </c>
      <c r="B346" t="inlineStr">
        <is>
          <t>Sexta-feira</t>
        </is>
      </c>
      <c r="G346" s="7">
        <f>IF(AND(C346&lt;&gt;"",D346&lt;&gt;""),(D346-C346),0)+IF(AND(E346&lt;&gt;"",F346&lt;&gt;""),(F346-E346),0)</f>
        <v/>
      </c>
      <c r="H346" s="8">
        <f>(G346*24)*$I$2</f>
        <v/>
      </c>
    </row>
    <row r="347" ht="15.75" customHeight="1">
      <c r="A347" s="6" t="n">
        <v>46368</v>
      </c>
      <c r="B347" t="inlineStr">
        <is>
          <t>Sábado</t>
        </is>
      </c>
      <c r="G347" s="7">
        <f>IF(AND(C347&lt;&gt;"",D347&lt;&gt;""),(D347-C347),0)+IF(AND(E347&lt;&gt;"",F347&lt;&gt;""),(F347-E347),0)</f>
        <v/>
      </c>
      <c r="H347" s="8">
        <f>(G347*24)*$I$2</f>
        <v/>
      </c>
    </row>
    <row r="348" ht="15.75" customHeight="1">
      <c r="A348" s="6" t="n">
        <v>46369</v>
      </c>
      <c r="B348" t="inlineStr">
        <is>
          <t>Domingo</t>
        </is>
      </c>
      <c r="G348" s="7">
        <f>IF(AND(C348&lt;&gt;"",D348&lt;&gt;""),(D348-C348),0)+IF(AND(E348&lt;&gt;"",F348&lt;&gt;""),(F348-E348),0)</f>
        <v/>
      </c>
      <c r="H348" s="8">
        <f>(G348*24)*$I$2</f>
        <v/>
      </c>
    </row>
    <row r="349" ht="15.75" customHeight="1">
      <c r="A349" s="6" t="n">
        <v>46370</v>
      </c>
      <c r="B349" t="inlineStr">
        <is>
          <t>Segunda-feira</t>
        </is>
      </c>
      <c r="G349" s="7">
        <f>IF(AND(C349&lt;&gt;"",D349&lt;&gt;""),(D349-C349),0)+IF(AND(E349&lt;&gt;"",F349&lt;&gt;""),(F349-E349),0)</f>
        <v/>
      </c>
      <c r="H349" s="8">
        <f>(G349*24)*$I$2</f>
        <v/>
      </c>
    </row>
    <row r="350" ht="15.75" customHeight="1">
      <c r="A350" s="6" t="n">
        <v>46371</v>
      </c>
      <c r="B350" t="inlineStr">
        <is>
          <t>Terça-feira</t>
        </is>
      </c>
      <c r="G350" s="7">
        <f>IF(AND(C350&lt;&gt;"",D350&lt;&gt;""),(D350-C350),0)+IF(AND(E350&lt;&gt;"",F350&lt;&gt;""),(F350-E350),0)</f>
        <v/>
      </c>
      <c r="H350" s="8">
        <f>(G350*24)*$I$2</f>
        <v/>
      </c>
    </row>
    <row r="351" ht="15.75" customHeight="1">
      <c r="A351" s="6" t="n">
        <v>46372</v>
      </c>
      <c r="B351" t="inlineStr">
        <is>
          <t>Quarta-feira</t>
        </is>
      </c>
      <c r="G351" s="7">
        <f>IF(AND(C351&lt;&gt;"",D351&lt;&gt;""),(D351-C351),0)+IF(AND(E351&lt;&gt;"",F351&lt;&gt;""),(F351-E351),0)</f>
        <v/>
      </c>
      <c r="H351" s="8">
        <f>(G351*24)*$I$2</f>
        <v/>
      </c>
    </row>
    <row r="352" ht="15.75" customHeight="1">
      <c r="A352" s="6" t="n">
        <v>46373</v>
      </c>
      <c r="B352" t="inlineStr">
        <is>
          <t>Quinta-feira</t>
        </is>
      </c>
      <c r="G352" s="7">
        <f>IF(AND(C352&lt;&gt;"",D352&lt;&gt;""),(D352-C352),0)+IF(AND(E352&lt;&gt;"",F352&lt;&gt;""),(F352-E352),0)</f>
        <v/>
      </c>
      <c r="H352" s="8">
        <f>(G352*24)*$I$2</f>
        <v/>
      </c>
    </row>
    <row r="353" ht="15.75" customHeight="1">
      <c r="A353" s="6" t="n">
        <v>46374</v>
      </c>
      <c r="B353" t="inlineStr">
        <is>
          <t>Sexta-feira</t>
        </is>
      </c>
      <c r="G353" s="7">
        <f>IF(AND(C353&lt;&gt;"",D353&lt;&gt;""),(D353-C353),0)+IF(AND(E353&lt;&gt;"",F353&lt;&gt;""),(F353-E353),0)</f>
        <v/>
      </c>
      <c r="H353" s="8">
        <f>(G353*24)*$I$2</f>
        <v/>
      </c>
    </row>
    <row r="354" ht="15.75" customHeight="1">
      <c r="A354" s="6" t="n">
        <v>46375</v>
      </c>
      <c r="B354" t="inlineStr">
        <is>
          <t>Sábado</t>
        </is>
      </c>
      <c r="G354" s="7">
        <f>IF(AND(C354&lt;&gt;"",D354&lt;&gt;""),(D354-C354),0)+IF(AND(E354&lt;&gt;"",F354&lt;&gt;""),(F354-E354),0)</f>
        <v/>
      </c>
      <c r="H354" s="8">
        <f>(G354*24)*$I$2</f>
        <v/>
      </c>
    </row>
    <row r="355" ht="15.75" customHeight="1">
      <c r="A355" s="6" t="n">
        <v>46376</v>
      </c>
      <c r="B355" t="inlineStr">
        <is>
          <t>Domingo</t>
        </is>
      </c>
      <c r="G355" s="7">
        <f>IF(AND(C355&lt;&gt;"",D355&lt;&gt;""),(D355-C355),0)+IF(AND(E355&lt;&gt;"",F355&lt;&gt;""),(F355-E355),0)</f>
        <v/>
      </c>
      <c r="H355" s="8">
        <f>(G355*24)*$I$2</f>
        <v/>
      </c>
    </row>
    <row r="356" ht="15.75" customHeight="1">
      <c r="A356" s="6" t="n">
        <v>46377</v>
      </c>
      <c r="B356" t="inlineStr">
        <is>
          <t>Segunda-feira</t>
        </is>
      </c>
      <c r="G356" s="7">
        <f>IF(AND(C356&lt;&gt;"",D356&lt;&gt;""),(D356-C356),0)+IF(AND(E356&lt;&gt;"",F356&lt;&gt;""),(F356-E356),0)</f>
        <v/>
      </c>
      <c r="H356" s="8">
        <f>(G356*24)*$I$2</f>
        <v/>
      </c>
    </row>
    <row r="357" ht="15.75" customHeight="1">
      <c r="A357" s="6" t="n">
        <v>46378</v>
      </c>
      <c r="B357" t="inlineStr">
        <is>
          <t>Terça-feira</t>
        </is>
      </c>
      <c r="G357" s="7">
        <f>IF(AND(C357&lt;&gt;"",D357&lt;&gt;""),(D357-C357),0)+IF(AND(E357&lt;&gt;"",F357&lt;&gt;""),(F357-E357),0)</f>
        <v/>
      </c>
      <c r="H357" s="8">
        <f>(G357*24)*$I$2</f>
        <v/>
      </c>
    </row>
    <row r="358" ht="15.75" customHeight="1">
      <c r="A358" s="6" t="n">
        <v>46379</v>
      </c>
      <c r="B358" t="inlineStr">
        <is>
          <t>Quarta-feira</t>
        </is>
      </c>
      <c r="G358" s="7">
        <f>IF(AND(C358&lt;&gt;"",D358&lt;&gt;""),(D358-C358),0)+IF(AND(E358&lt;&gt;"",F358&lt;&gt;""),(F358-E358),0)</f>
        <v/>
      </c>
      <c r="H358" s="8">
        <f>(G358*24)*$I$2</f>
        <v/>
      </c>
    </row>
    <row r="359" ht="15.75" customHeight="1">
      <c r="A359" s="6" t="n">
        <v>46380</v>
      </c>
      <c r="B359" t="inlineStr">
        <is>
          <t>Quinta-feira</t>
        </is>
      </c>
      <c r="G359" s="7">
        <f>IF(AND(C359&lt;&gt;"",D359&lt;&gt;""),(D359-C359),0)+IF(AND(E359&lt;&gt;"",F359&lt;&gt;""),(F359-E359),0)</f>
        <v/>
      </c>
      <c r="H359" s="8">
        <f>(G359*24)*$I$2</f>
        <v/>
      </c>
    </row>
    <row r="360" ht="15.75" customHeight="1">
      <c r="A360" s="6" t="n">
        <v>46381</v>
      </c>
      <c r="B360" t="inlineStr">
        <is>
          <t>Sexta-feira</t>
        </is>
      </c>
      <c r="G360" s="7">
        <f>IF(AND(C360&lt;&gt;"",D360&lt;&gt;""),(D360-C360),0)+IF(AND(E360&lt;&gt;"",F360&lt;&gt;""),(F360-E360),0)</f>
        <v/>
      </c>
      <c r="H360" s="8">
        <f>(G360*24)*$I$2</f>
        <v/>
      </c>
    </row>
    <row r="361" ht="15.75" customHeight="1">
      <c r="A361" s="6" t="n">
        <v>46382</v>
      </c>
      <c r="B361" t="inlineStr">
        <is>
          <t>Sábado</t>
        </is>
      </c>
      <c r="G361" s="7">
        <f>IF(AND(C361&lt;&gt;"",D361&lt;&gt;""),(D361-C361),0)+IF(AND(E361&lt;&gt;"",F361&lt;&gt;""),(F361-E361),0)</f>
        <v/>
      </c>
      <c r="H361" s="8">
        <f>(G361*24)*$I$2</f>
        <v/>
      </c>
    </row>
    <row r="362" ht="15.75" customHeight="1">
      <c r="A362" s="6" t="n">
        <v>46383</v>
      </c>
      <c r="B362" t="inlineStr">
        <is>
          <t>Domingo</t>
        </is>
      </c>
      <c r="G362" s="7">
        <f>IF(AND(C362&lt;&gt;"",D362&lt;&gt;""),(D362-C362),0)+IF(AND(E362&lt;&gt;"",F362&lt;&gt;""),(F362-E362),0)</f>
        <v/>
      </c>
      <c r="H362" s="8">
        <f>(G362*24)*$I$2</f>
        <v/>
      </c>
    </row>
    <row r="363" ht="15.75" customHeight="1">
      <c r="A363" s="6" t="n">
        <v>46384</v>
      </c>
      <c r="B363" t="inlineStr">
        <is>
          <t>Segunda-feira</t>
        </is>
      </c>
      <c r="G363" s="7">
        <f>IF(AND(C363&lt;&gt;"",D363&lt;&gt;""),(D363-C363),0)+IF(AND(E363&lt;&gt;"",F363&lt;&gt;""),(F363-E363),0)</f>
        <v/>
      </c>
      <c r="H363" s="8">
        <f>(G363*24)*$I$2</f>
        <v/>
      </c>
    </row>
    <row r="364" ht="15.75" customHeight="1">
      <c r="A364" s="6" t="n">
        <v>46385</v>
      </c>
      <c r="B364" t="inlineStr">
        <is>
          <t>Terça-feira</t>
        </is>
      </c>
      <c r="G364" s="7">
        <f>IF(AND(C364&lt;&gt;"",D364&lt;&gt;""),(D364-C364),0)+IF(AND(E364&lt;&gt;"",F364&lt;&gt;""),(F364-E364),0)</f>
        <v/>
      </c>
      <c r="H364" s="8">
        <f>(G364*24)*$I$2</f>
        <v/>
      </c>
    </row>
    <row r="365" ht="15.75" customHeight="1">
      <c r="A365" s="6" t="n">
        <v>46386</v>
      </c>
      <c r="B365" t="inlineStr">
        <is>
          <t>Quarta-feira</t>
        </is>
      </c>
      <c r="G365" s="7">
        <f>IF(AND(C365&lt;&gt;"",D365&lt;&gt;""),(D365-C365),0)+IF(AND(E365&lt;&gt;"",F365&lt;&gt;""),(F365-E365),0)</f>
        <v/>
      </c>
      <c r="H365" s="8">
        <f>(G365*24)*$I$2</f>
        <v/>
      </c>
    </row>
    <row r="366" ht="15.75" customHeight="1">
      <c r="A366" s="6" t="n">
        <v>46387</v>
      </c>
      <c r="B366" t="inlineStr">
        <is>
          <t>Quinta-feira</t>
        </is>
      </c>
      <c r="G366" s="7">
        <f>IF(AND(C366&lt;&gt;"",D366&lt;&gt;""),(D366-C366),0)+IF(AND(E366&lt;&gt;"",F366&lt;&gt;""),(F366-E366),0)</f>
        <v/>
      </c>
      <c r="H366" s="8">
        <f>(G366*24)*$I$2</f>
        <v/>
      </c>
    </row>
    <row r="367" ht="15.75" customHeight="1">
      <c r="A367" s="14" t="n"/>
    </row>
    <row r="368" ht="15.75" customHeight="1">
      <c r="A368" s="14" t="n"/>
    </row>
    <row r="369" ht="15.75" customHeight="1">
      <c r="A369" s="14" t="n"/>
    </row>
    <row r="370" ht="15.75" customHeight="1">
      <c r="A370" s="14" t="n"/>
    </row>
    <row r="371" ht="15.75" customHeight="1">
      <c r="A371" s="14" t="n"/>
    </row>
    <row r="372" ht="15.75" customHeight="1">
      <c r="A372" s="14" t="n"/>
    </row>
    <row r="373" ht="15.75" customHeight="1">
      <c r="A373" s="14" t="n"/>
    </row>
    <row r="374" ht="15.75" customHeight="1">
      <c r="A374" s="14" t="n"/>
    </row>
    <row r="375" ht="15.75" customHeight="1">
      <c r="A375" s="14" t="n"/>
    </row>
    <row r="376" ht="15.75" customHeight="1">
      <c r="A376" s="14" t="n"/>
    </row>
    <row r="377" ht="15.75" customHeight="1">
      <c r="A377" s="14" t="n"/>
    </row>
    <row r="378" ht="15.75" customHeight="1">
      <c r="A378" s="14" t="n"/>
    </row>
    <row r="379" ht="15.75" customHeight="1">
      <c r="A379" s="14" t="n"/>
    </row>
    <row r="380" ht="15.75" customHeight="1">
      <c r="A380" s="14" t="n"/>
    </row>
    <row r="381" ht="15.75" customHeight="1">
      <c r="A381" s="14" t="n"/>
    </row>
    <row r="382" ht="15.75" customHeight="1">
      <c r="A382" s="14" t="n"/>
    </row>
    <row r="383" ht="15.75" customHeight="1">
      <c r="A383" s="14" t="n"/>
    </row>
    <row r="384" ht="15.75" customHeight="1">
      <c r="A384" s="14" t="n"/>
    </row>
    <row r="385" ht="15.75" customHeight="1">
      <c r="A385" s="14" t="n"/>
    </row>
    <row r="386" ht="15.75" customHeight="1">
      <c r="A386" s="14" t="n"/>
    </row>
    <row r="387" ht="15.75" customHeight="1">
      <c r="A387" s="14" t="n"/>
    </row>
    <row r="388" ht="15.75" customHeight="1">
      <c r="A388" s="14" t="n"/>
    </row>
    <row r="389" ht="15.75" customHeight="1">
      <c r="A389" s="14" t="n"/>
    </row>
    <row r="390" ht="15.75" customHeight="1">
      <c r="A390" s="14" t="n"/>
    </row>
    <row r="391" ht="15.75" customHeight="1">
      <c r="A391" s="14" t="n"/>
    </row>
    <row r="392" ht="15.75" customHeight="1">
      <c r="A392" s="14" t="n"/>
    </row>
    <row r="393" ht="15.75" customHeight="1">
      <c r="A393" s="14" t="n"/>
    </row>
    <row r="394" ht="15.75" customHeight="1">
      <c r="A394" s="14" t="n"/>
    </row>
    <row r="395" ht="15.75" customHeight="1">
      <c r="A395" s="14" t="n"/>
    </row>
    <row r="396" ht="15.75" customHeight="1">
      <c r="A396" s="14" t="n"/>
    </row>
    <row r="397" ht="15.75" customHeight="1">
      <c r="A397" s="14" t="n"/>
    </row>
    <row r="398" ht="15.75" customHeight="1">
      <c r="A398" s="14" t="n"/>
    </row>
    <row r="399" ht="15.75" customHeight="1">
      <c r="A399" s="14" t="n"/>
    </row>
    <row r="400" ht="15.75" customHeight="1">
      <c r="A400" s="14" t="n"/>
    </row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5" right="0.75" top="1" bottom="1" header="0" footer="0"/>
  <pageSetup orientation="landscape" scale="100" fitToHeight="1" fitToWidth="1" firstPageNumber="1" useFirstPageNumber="1" horizontalDpi="4294967295" verticalDpi="4294967295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G16"/>
  <sheetViews>
    <sheetView zoomScale="66" zoomScaleNormal="100" workbookViewId="0">
      <selection activeCell="B27" sqref="B27"/>
    </sheetView>
  </sheetViews>
  <sheetFormatPr baseColWidth="8" defaultRowHeight="15" outlineLevelRow="0"/>
  <cols>
    <col width="16.54296875" customWidth="1" min="1" max="1"/>
    <col width="13.71875" customWidth="1" min="2" max="2"/>
    <col width="23.67578125" customWidth="1" min="3" max="3"/>
    <col width="18.5625" customWidth="1" min="4" max="4"/>
    <col width="15.33203125" customWidth="1" min="5" max="5"/>
    <col width="23.67578125" customWidth="1" min="6" max="6"/>
    <col width="19.90625" customWidth="1" min="7" max="7"/>
    <col width="18.5625" customWidth="1" min="8" max="9"/>
    <col width="24.88671875" customWidth="1" min="10" max="17"/>
    <col width="26.09765625" customWidth="1" min="18" max="18"/>
    <col width="29.99609375" customWidth="1" min="19" max="19"/>
    <col width="24.34765625" customWidth="1" min="20" max="20"/>
    <col width="24.88671875" customWidth="1" min="21" max="45"/>
    <col width="26.09765625" customWidth="1" min="46" max="46"/>
    <col width="29.99609375" customWidth="1" min="47" max="47"/>
    <col width="24.34765625" customWidth="1" min="48" max="48"/>
    <col width="24.88671875" customWidth="1" min="49" max="59"/>
    <col width="26.09765625" customWidth="1" min="60" max="60"/>
    <col width="29.99609375" customWidth="1" min="61" max="61"/>
    <col width="24.34765625" customWidth="1" min="62" max="62"/>
    <col width="24.88671875" customWidth="1" min="63" max="65"/>
    <col width="27.7109375" customWidth="1" min="66" max="66"/>
    <col width="31.74609375" customWidth="1" min="67" max="67"/>
    <col width="25.828125" customWidth="1" min="68" max="68"/>
    <col width="26.36328125" customWidth="1" min="69" max="69"/>
    <col width="30.40234375" customWidth="1" min="70" max="70"/>
    <col width="24.75" customWidth="1" min="71" max="71"/>
    <col width="26.36328125" customWidth="1" min="72" max="72"/>
    <col width="30.40234375" customWidth="1" min="73" max="73"/>
    <col width="24.75" customWidth="1" min="74" max="74"/>
    <col width="24.88671875" customWidth="1" min="75" max="77"/>
    <col width="27.7109375" customWidth="1" min="78" max="78"/>
    <col width="31.74609375" customWidth="1" min="79" max="79"/>
    <col width="25.828125" customWidth="1" min="80" max="80"/>
    <col width="29.32421875" customWidth="1" min="81" max="81"/>
    <col width="33.2265625" customWidth="1" min="82" max="82"/>
    <col width="27.57421875" customWidth="1" min="83" max="83"/>
    <col width="26.36328125" customWidth="1" min="84" max="84"/>
    <col width="30.40234375" customWidth="1" min="85" max="85"/>
    <col width="24.75" customWidth="1" min="86" max="86"/>
    <col width="24.88671875" customWidth="1" min="87" max="89"/>
    <col width="27.7109375" customWidth="1" min="90" max="90"/>
    <col width="31.74609375" customWidth="1" min="91" max="91"/>
    <col width="25.828125" customWidth="1" min="92" max="92"/>
    <col width="26.36328125" customWidth="1" min="93" max="93"/>
    <col width="30.40234375" customWidth="1" min="94" max="94"/>
    <col width="24.75" customWidth="1" min="95" max="95"/>
    <col width="24.88671875" customWidth="1" min="96" max="98"/>
    <col width="27.7109375" customWidth="1" min="99" max="99"/>
    <col width="31.74609375" customWidth="1" min="100" max="100"/>
    <col width="25.828125" customWidth="1" min="101" max="101"/>
    <col width="26.36328125" customWidth="1" min="102" max="102"/>
    <col width="30.40234375" customWidth="1" min="103" max="103"/>
    <col width="24.75" customWidth="1" min="104" max="104"/>
    <col width="26.36328125" customWidth="1" min="105" max="105"/>
    <col width="30.40234375" customWidth="1" min="106" max="106"/>
    <col width="24.75" customWidth="1" min="107" max="107"/>
    <col width="24.88671875" customWidth="1" min="108" max="110"/>
    <col width="27.7109375" customWidth="1" min="111" max="111"/>
    <col width="31.74609375" customWidth="1" min="112" max="112"/>
    <col width="25.828125" customWidth="1" min="113" max="113"/>
    <col width="26.36328125" customWidth="1" min="114" max="114"/>
    <col width="30.40234375" customWidth="1" min="115" max="115"/>
    <col width="24.75" customWidth="1" min="116" max="116"/>
    <col width="24.88671875" customWidth="1" min="117" max="119"/>
    <col width="27.7109375" customWidth="1" min="120" max="120"/>
    <col width="31.74609375" customWidth="1" min="121" max="121"/>
    <col width="25.828125" customWidth="1" min="122" max="122"/>
    <col width="26.36328125" customWidth="1" min="123" max="123"/>
    <col width="30.40234375" customWidth="1" min="124" max="124"/>
    <col width="24.75" customWidth="1" min="125" max="125"/>
    <col width="24.88671875" customWidth="1" min="126" max="128"/>
    <col width="27.7109375" customWidth="1" min="129" max="129"/>
    <col width="31.74609375" customWidth="1" min="130" max="130"/>
    <col width="25.828125" customWidth="1" min="131" max="131"/>
    <col width="26.36328125" customWidth="1" min="132" max="132"/>
    <col width="30.40234375" customWidth="1" min="133" max="133"/>
    <col width="24.75" customWidth="1" min="134" max="134"/>
    <col width="24.88671875" customWidth="1" min="135" max="137"/>
    <col width="27.7109375" customWidth="1" min="138" max="138"/>
    <col width="31.74609375" customWidth="1" min="139" max="139"/>
    <col width="25.828125" customWidth="1" min="140" max="140"/>
    <col width="26.36328125" customWidth="1" min="141" max="141"/>
    <col width="30.40234375" customWidth="1" min="142" max="142"/>
    <col width="24.75" customWidth="1" min="143" max="143"/>
    <col width="24.88671875" customWidth="1" min="144" max="146"/>
    <col width="27.7109375" customWidth="1" min="147" max="147"/>
    <col width="31.74609375" customWidth="1" min="148" max="148"/>
    <col width="25.828125" customWidth="1" min="149" max="149"/>
    <col width="26.36328125" customWidth="1" min="150" max="150"/>
    <col width="30.40234375" customWidth="1" min="151" max="151"/>
    <col width="24.75" customWidth="1" min="152" max="152"/>
    <col width="24.88671875" customWidth="1" min="153" max="155"/>
    <col width="27.7109375" customWidth="1" min="156" max="156"/>
    <col width="31.74609375" customWidth="1" min="157" max="157"/>
    <col width="25.828125" customWidth="1" min="158" max="158"/>
    <col width="26.36328125" customWidth="1" min="159" max="159"/>
    <col width="30.40234375" customWidth="1" min="160" max="160"/>
    <col width="24.75" customWidth="1" min="161" max="161"/>
    <col width="26.36328125" customWidth="1" min="162" max="162"/>
    <col width="30.40234375" customWidth="1" min="163" max="163"/>
    <col width="24.75" customWidth="1" min="164" max="164"/>
    <col width="24.88671875" customWidth="1" min="165" max="167"/>
    <col width="27.7109375" customWidth="1" min="168" max="168"/>
    <col width="31.74609375" customWidth="1" min="169" max="169"/>
    <col width="25.828125" customWidth="1" min="170" max="170"/>
    <col width="26.36328125" customWidth="1" min="171" max="171"/>
    <col width="30.40234375" customWidth="1" min="172" max="172"/>
    <col width="24.75" customWidth="1" min="173" max="173"/>
    <col width="26.36328125" customWidth="1" min="174" max="174"/>
    <col width="30.40234375" customWidth="1" min="175" max="175"/>
    <col width="24.75" customWidth="1" min="176" max="176"/>
    <col width="24.88671875" customWidth="1" min="177" max="179"/>
    <col width="29.32421875" customWidth="1" min="180" max="180"/>
    <col width="33.2265625" customWidth="1" min="181" max="181"/>
    <col width="27.57421875" customWidth="1" min="182" max="182"/>
    <col width="29.32421875" customWidth="1" min="183" max="183"/>
    <col width="33.2265625" customWidth="1" min="184" max="184"/>
    <col width="27.57421875" customWidth="1" min="185" max="185"/>
    <col width="29.32421875" customWidth="1" min="186" max="186"/>
    <col width="33.2265625" customWidth="1" min="187" max="187"/>
    <col width="27.57421875" customWidth="1" min="188" max="188"/>
    <col width="24.88671875" customWidth="1" min="189" max="191"/>
    <col width="27.7109375" customWidth="1" min="192" max="192"/>
    <col width="31.74609375" customWidth="1" min="193" max="193"/>
    <col width="25.828125" customWidth="1" min="194" max="194"/>
    <col width="29.32421875" customWidth="1" min="195" max="195"/>
    <col width="33.2265625" customWidth="1" min="196" max="196"/>
    <col width="27.57421875" customWidth="1" min="197" max="197"/>
    <col width="29.32421875" customWidth="1" min="198" max="198"/>
    <col width="33.2265625" customWidth="1" min="199" max="199"/>
    <col width="27.57421875" customWidth="1" min="200" max="200"/>
    <col width="24.88671875" customWidth="1" min="201" max="203"/>
    <col width="27.7109375" customWidth="1" min="204" max="204"/>
    <col width="31.74609375" customWidth="1" min="205" max="205"/>
    <col width="25.828125" customWidth="1" min="206" max="206"/>
    <col width="27.7109375" customWidth="1" min="207" max="207"/>
    <col width="31.74609375" customWidth="1" min="208" max="208"/>
    <col width="25.828125" customWidth="1" min="209" max="209"/>
    <col width="27.7109375" customWidth="1" min="210" max="210"/>
    <col width="31.74609375" customWidth="1" min="211" max="211"/>
    <col width="25.828125" customWidth="1" min="212" max="212"/>
    <col width="26.09765625" customWidth="1" min="213" max="213"/>
    <col width="29.99609375" customWidth="1" min="214" max="214"/>
    <col width="24.34765625" customWidth="1" min="215" max="215"/>
  </cols>
  <sheetData>
    <row r="3">
      <c r="A3" s="15" t="inlineStr">
        <is>
          <t>Data</t>
        </is>
      </c>
      <c r="B3" s="15" t="inlineStr">
        <is>
          <t>Dia da Semana</t>
        </is>
      </c>
      <c r="C3" s="15" t="inlineStr">
        <is>
          <t>Soma de Valor do Dia (R$)</t>
        </is>
      </c>
      <c r="E3" s="16" t="inlineStr">
        <is>
          <t>Rótulos de Linha</t>
        </is>
      </c>
      <c r="F3" t="inlineStr">
        <is>
          <t>Soma de Valor do Dia (R$)</t>
        </is>
      </c>
      <c r="G3" t="inlineStr">
        <is>
          <t>Soma de Horas do Dia</t>
        </is>
      </c>
    </row>
    <row r="4">
      <c r="A4" s="17" t="n">
        <v>46167</v>
      </c>
      <c r="B4" t="inlineStr">
        <is>
          <t>Segunda-feira</t>
        </is>
      </c>
      <c r="C4" s="8" t="n">
        <v>0</v>
      </c>
      <c r="E4" s="1" t="inlineStr">
        <is>
          <t>jan</t>
        </is>
      </c>
      <c r="F4" s="8" t="n">
        <v>1333</v>
      </c>
      <c r="G4" s="18" t="n">
        <v>4.628472222222222</v>
      </c>
    </row>
    <row r="5">
      <c r="A5" s="17" t="n">
        <v>46168</v>
      </c>
      <c r="B5" t="inlineStr">
        <is>
          <t>Terça-feira</t>
        </is>
      </c>
      <c r="C5" s="8" t="n">
        <v>58.99999999999999</v>
      </c>
      <c r="E5" s="1" t="inlineStr">
        <is>
          <t>fev</t>
        </is>
      </c>
      <c r="F5" s="8" t="n">
        <v>1271.2</v>
      </c>
      <c r="G5" s="18" t="n">
        <v>4.413888888888889</v>
      </c>
    </row>
    <row r="6">
      <c r="A6" s="17" t="n">
        <v>46169</v>
      </c>
      <c r="B6" t="inlineStr">
        <is>
          <t>Quarta-feira</t>
        </is>
      </c>
      <c r="C6" s="8" t="n">
        <v>46</v>
      </c>
      <c r="E6" s="1" t="inlineStr">
        <is>
          <t>mar</t>
        </is>
      </c>
      <c r="F6" s="8" t="n">
        <v>1343.2</v>
      </c>
      <c r="G6" s="18" t="n">
        <v>4.663888888888889</v>
      </c>
    </row>
    <row r="7">
      <c r="A7" s="17" t="n">
        <v>46170</v>
      </c>
      <c r="B7" t="inlineStr">
        <is>
          <t>Quinta-feira</t>
        </is>
      </c>
      <c r="C7" s="8" t="n">
        <v>44</v>
      </c>
      <c r="E7" s="1" t="inlineStr">
        <is>
          <t>abr</t>
        </is>
      </c>
      <c r="F7" s="8" t="n">
        <v>1193.6</v>
      </c>
      <c r="G7" s="18" t="n">
        <v>4.144444444444445</v>
      </c>
    </row>
    <row r="8">
      <c r="A8" s="17" t="n">
        <v>46171</v>
      </c>
      <c r="B8" t="inlineStr">
        <is>
          <t>Sexta-feira</t>
        </is>
      </c>
      <c r="C8" s="8" t="n">
        <v>47.99999999999999</v>
      </c>
      <c r="E8" s="1" t="inlineStr">
        <is>
          <t>mai</t>
        </is>
      </c>
      <c r="F8" s="8" t="n">
        <v>1155.2</v>
      </c>
      <c r="G8" s="18" t="n">
        <v>4.011111111111111</v>
      </c>
    </row>
    <row r="9">
      <c r="A9" s="17" t="n">
        <v>46172</v>
      </c>
      <c r="B9" t="inlineStr">
        <is>
          <t>Sábado</t>
        </is>
      </c>
      <c r="C9" s="8" t="n">
        <v>127.4</v>
      </c>
      <c r="E9" s="1" t="inlineStr">
        <is>
          <t>jun</t>
        </is>
      </c>
      <c r="F9" s="8" t="n">
        <v>0</v>
      </c>
      <c r="G9" s="18" t="n">
        <v>0</v>
      </c>
    </row>
    <row r="10">
      <c r="A10" s="17" t="n">
        <v>46173</v>
      </c>
      <c r="B10" t="inlineStr">
        <is>
          <t>Domingo</t>
        </is>
      </c>
      <c r="C10" s="8" t="n">
        <v>0</v>
      </c>
      <c r="E10" s="1" t="inlineStr">
        <is>
          <t>jul</t>
        </is>
      </c>
      <c r="F10" s="8" t="n">
        <v>0</v>
      </c>
      <c r="G10" s="18" t="n">
        <v>0</v>
      </c>
    </row>
    <row r="11">
      <c r="A11" s="19" t="inlineStr">
        <is>
          <t>Total Geral</t>
        </is>
      </c>
      <c r="B11" s="15" t="n"/>
      <c r="C11" s="20" t="n">
        <v>324.4</v>
      </c>
      <c r="E11" s="1" t="inlineStr">
        <is>
          <t>ago</t>
        </is>
      </c>
      <c r="F11" s="8" t="n">
        <v>0</v>
      </c>
      <c r="G11" s="18" t="n">
        <v>0</v>
      </c>
    </row>
    <row r="12">
      <c r="E12" s="1" t="inlineStr">
        <is>
          <t>set</t>
        </is>
      </c>
      <c r="F12" s="8" t="n">
        <v>0</v>
      </c>
      <c r="G12" s="18" t="n">
        <v>0</v>
      </c>
    </row>
    <row r="13">
      <c r="E13" s="1" t="inlineStr">
        <is>
          <t>out</t>
        </is>
      </c>
      <c r="F13" s="8" t="n">
        <v>0</v>
      </c>
      <c r="G13" s="18" t="n">
        <v>0</v>
      </c>
    </row>
    <row r="14">
      <c r="E14" s="1" t="inlineStr">
        <is>
          <t>nov</t>
        </is>
      </c>
      <c r="F14" s="8" t="n">
        <v>0</v>
      </c>
      <c r="G14" s="18" t="n">
        <v>0</v>
      </c>
    </row>
    <row r="15">
      <c r="E15" s="1" t="inlineStr">
        <is>
          <t>dez</t>
        </is>
      </c>
      <c r="F15" s="8" t="n">
        <v>0</v>
      </c>
      <c r="G15" s="18" t="n">
        <v>0</v>
      </c>
    </row>
    <row r="16">
      <c r="E16" s="1" t="inlineStr">
        <is>
          <t>Total Geral</t>
        </is>
      </c>
      <c r="F16" s="8" t="n">
        <v>6296.2</v>
      </c>
      <c r="G16" s="18" t="n">
        <v>21.86180555555556</v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 outlineLevelRow="0"/>
  <sheetData>
    <row r="1" customFormat="1" s="21">
      <c r="A1" s="21" t="inlineStr">
        <is>
          <t>ID</t>
        </is>
      </c>
      <c r="B1" s="21" t="inlineStr">
        <is>
          <t>Data</t>
        </is>
      </c>
      <c r="C1" s="21" t="inlineStr">
        <is>
          <t>Descrição</t>
        </is>
      </c>
      <c r="D1" s="21" t="inlineStr">
        <is>
          <t>Tipo</t>
        </is>
      </c>
      <c r="E1" s="21" t="inlineStr">
        <is>
          <t>Valor</t>
        </is>
      </c>
      <c r="F1" s="21" t="inlineStr">
        <is>
          <t>Categoria</t>
        </is>
      </c>
    </row>
  </sheetData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selection activeCell="A1" sqref="A1"/>
    </sheetView>
  </sheetViews>
  <sheetFormatPr baseColWidth="8" defaultRowHeight="15" outlineLevelRow="0"/>
  <sheetData>
    <row r="1" customFormat="1" s="21">
      <c r="A1" s="21" t="inlineStr">
        <is>
          <t>ID</t>
        </is>
      </c>
      <c r="B1" s="21" t="inlineStr">
        <is>
          <t>Data</t>
        </is>
      </c>
      <c r="C1" s="21" t="inlineStr">
        <is>
          <t>Origem</t>
        </is>
      </c>
      <c r="D1" s="21" t="inlineStr">
        <is>
          <t>Valor</t>
        </is>
      </c>
      <c r="E1" s="21" t="inlineStr">
        <is>
          <t>Tipo</t>
        </is>
      </c>
    </row>
    <row r="2">
      <c r="A2" t="inlineStr">
        <is>
          <t>auto_mig_7_1780223060833</t>
        </is>
      </c>
      <c r="B2" s="22" t="n">
        <v>46028</v>
      </c>
      <c r="C2" t="inlineStr">
        <is>
          <t>Ponto de 2026-01-06</t>
        </is>
      </c>
      <c r="D2" t="n">
        <v>9.800000000000001</v>
      </c>
      <c r="E2" t="inlineStr">
        <is>
          <t>Automático</t>
        </is>
      </c>
    </row>
    <row r="3">
      <c r="A3" t="inlineStr">
        <is>
          <t>auto_mig_8_1780223060833</t>
        </is>
      </c>
      <c r="B3" s="22" t="n">
        <v>46029</v>
      </c>
      <c r="C3" t="inlineStr">
        <is>
          <t>Ponto de 2026-01-07</t>
        </is>
      </c>
      <c r="D3" t="n">
        <v>12.4</v>
      </c>
      <c r="E3" t="inlineStr">
        <is>
          <t>Automático</t>
        </is>
      </c>
    </row>
    <row r="4">
      <c r="A4" t="inlineStr">
        <is>
          <t>auto_mig_9_1780223060833</t>
        </is>
      </c>
      <c r="B4" s="22" t="n">
        <v>46030</v>
      </c>
      <c r="C4" t="inlineStr">
        <is>
          <t>Ponto de 2026-01-08</t>
        </is>
      </c>
      <c r="D4" t="n">
        <v>10.4</v>
      </c>
      <c r="E4" t="inlineStr">
        <is>
          <t>Automático</t>
        </is>
      </c>
    </row>
    <row r="5">
      <c r="A5" t="inlineStr">
        <is>
          <t>auto_mig_10_1780223060833</t>
        </is>
      </c>
      <c r="B5" s="22" t="n">
        <v>46031</v>
      </c>
      <c r="C5" t="inlineStr">
        <is>
          <t>Ponto de 2026-01-09</t>
        </is>
      </c>
      <c r="D5" t="n">
        <v>9.4</v>
      </c>
      <c r="E5" t="inlineStr">
        <is>
          <t>Automático</t>
        </is>
      </c>
    </row>
    <row r="6">
      <c r="A6" t="inlineStr">
        <is>
          <t>auto_mig_11_1780223060833</t>
        </is>
      </c>
      <c r="B6" s="22" t="n">
        <v>46032</v>
      </c>
      <c r="C6" t="inlineStr">
        <is>
          <t>Ponto de 2026-01-10</t>
        </is>
      </c>
      <c r="D6" t="n">
        <v>26.2</v>
      </c>
      <c r="E6" t="inlineStr">
        <is>
          <t>Automático</t>
        </is>
      </c>
    </row>
    <row r="7">
      <c r="A7" t="inlineStr">
        <is>
          <t>auto_mig_14_1780223060833</t>
        </is>
      </c>
      <c r="B7" s="22" t="n">
        <v>46035</v>
      </c>
      <c r="C7" t="inlineStr">
        <is>
          <t>Ponto de 2026-01-13</t>
        </is>
      </c>
      <c r="D7" t="n">
        <v>9.4</v>
      </c>
      <c r="E7" t="inlineStr">
        <is>
          <t>Automático</t>
        </is>
      </c>
    </row>
    <row r="8">
      <c r="A8" t="inlineStr">
        <is>
          <t>auto_mig_15_1780223060833</t>
        </is>
      </c>
      <c r="B8" s="22" t="n">
        <v>46036</v>
      </c>
      <c r="C8" t="inlineStr">
        <is>
          <t>Ponto de 2026-01-14</t>
        </is>
      </c>
      <c r="D8" t="n">
        <v>9.6</v>
      </c>
      <c r="E8" t="inlineStr">
        <is>
          <t>Automático</t>
        </is>
      </c>
    </row>
    <row r="9">
      <c r="A9" t="inlineStr">
        <is>
          <t>auto_mig_16_1780223060833</t>
        </is>
      </c>
      <c r="B9" s="22" t="n">
        <v>46037</v>
      </c>
      <c r="C9" t="inlineStr">
        <is>
          <t>Ponto de 2026-01-15</t>
        </is>
      </c>
      <c r="D9" t="n">
        <v>11.8</v>
      </c>
      <c r="E9" t="inlineStr">
        <is>
          <t>Automático</t>
        </is>
      </c>
    </row>
    <row r="10">
      <c r="A10" t="inlineStr">
        <is>
          <t>auto_mig_17_1780223060833</t>
        </is>
      </c>
      <c r="B10" s="22" t="n">
        <v>46038</v>
      </c>
      <c r="C10" t="inlineStr">
        <is>
          <t>Ponto de 2026-01-16</t>
        </is>
      </c>
      <c r="D10" t="n">
        <v>10.2</v>
      </c>
      <c r="E10" t="inlineStr">
        <is>
          <t>Automático</t>
        </is>
      </c>
    </row>
    <row r="11">
      <c r="A11" t="inlineStr">
        <is>
          <t>auto_mig_18_1780223060833</t>
        </is>
      </c>
      <c r="B11" s="22" t="n">
        <v>46039</v>
      </c>
      <c r="C11" t="inlineStr">
        <is>
          <t>Ponto de 2026-01-17</t>
        </is>
      </c>
      <c r="D11" t="n">
        <v>24.32</v>
      </c>
      <c r="E11" t="inlineStr">
        <is>
          <t>Automático</t>
        </is>
      </c>
    </row>
    <row r="12">
      <c r="A12" t="inlineStr">
        <is>
          <t>auto_mig_21_1780223060833</t>
        </is>
      </c>
      <c r="B12" s="22" t="n">
        <v>46042</v>
      </c>
      <c r="C12" t="inlineStr">
        <is>
          <t>Ponto de 2026-01-20</t>
        </is>
      </c>
      <c r="D12" t="n">
        <v>10</v>
      </c>
      <c r="E12" t="inlineStr">
        <is>
          <t>Automático</t>
        </is>
      </c>
    </row>
    <row r="13">
      <c r="A13" t="inlineStr">
        <is>
          <t>auto_mig_22_1780223060833</t>
        </is>
      </c>
      <c r="B13" s="22" t="n">
        <v>46043</v>
      </c>
      <c r="C13" t="inlineStr">
        <is>
          <t>Ponto de 2026-01-21</t>
        </is>
      </c>
      <c r="D13" t="n">
        <v>11.8</v>
      </c>
      <c r="E13" t="inlineStr">
        <is>
          <t>Automático</t>
        </is>
      </c>
    </row>
    <row r="14">
      <c r="A14" t="inlineStr">
        <is>
          <t>auto_mig_23_1780223060833</t>
        </is>
      </c>
      <c r="B14" s="22" t="n">
        <v>46044</v>
      </c>
      <c r="C14" t="inlineStr">
        <is>
          <t>Ponto de 2026-01-22</t>
        </is>
      </c>
      <c r="D14" t="n">
        <v>9.4</v>
      </c>
      <c r="E14" t="inlineStr">
        <is>
          <t>Automático</t>
        </is>
      </c>
    </row>
    <row r="15">
      <c r="A15" t="inlineStr">
        <is>
          <t>auto_mig_24_1780223060833</t>
        </is>
      </c>
      <c r="B15" s="22" t="n">
        <v>46045</v>
      </c>
      <c r="C15" t="inlineStr">
        <is>
          <t>Ponto de 2026-01-23</t>
        </is>
      </c>
      <c r="D15" t="n">
        <v>10.2</v>
      </c>
      <c r="E15" t="inlineStr">
        <is>
          <t>Automático</t>
        </is>
      </c>
    </row>
    <row r="16">
      <c r="A16" t="inlineStr">
        <is>
          <t>auto_mig_25_1780223060833</t>
        </is>
      </c>
      <c r="B16" s="22" t="n">
        <v>46046</v>
      </c>
      <c r="C16" t="inlineStr">
        <is>
          <t>Ponto de 2026-01-24</t>
        </is>
      </c>
      <c r="D16" t="n">
        <v>18.6</v>
      </c>
      <c r="E16" t="inlineStr">
        <is>
          <t>Automático</t>
        </is>
      </c>
    </row>
    <row r="17">
      <c r="A17" t="inlineStr">
        <is>
          <t>auto_mig_28_1780223060833</t>
        </is>
      </c>
      <c r="B17" s="22" t="n">
        <v>46049</v>
      </c>
      <c r="C17" t="inlineStr">
        <is>
          <t>Ponto de 2026-01-27</t>
        </is>
      </c>
      <c r="D17" t="n">
        <v>16.6</v>
      </c>
      <c r="E17" t="inlineStr">
        <is>
          <t>Automático</t>
        </is>
      </c>
    </row>
    <row r="18">
      <c r="A18" t="inlineStr">
        <is>
          <t>auto_mig_29_1780223060833</t>
        </is>
      </c>
      <c r="B18" s="22" t="n">
        <v>46050</v>
      </c>
      <c r="C18" t="inlineStr">
        <is>
          <t>Ponto de 2026-01-28</t>
        </is>
      </c>
      <c r="D18" t="n">
        <v>11.2</v>
      </c>
      <c r="E18" t="inlineStr">
        <is>
          <t>Automático</t>
        </is>
      </c>
    </row>
    <row r="19">
      <c r="A19" t="inlineStr">
        <is>
          <t>auto_mig_30_1780223060833</t>
        </is>
      </c>
      <c r="B19" s="22" t="n">
        <v>46051</v>
      </c>
      <c r="C19" t="inlineStr">
        <is>
          <t>Ponto de 2026-01-29</t>
        </is>
      </c>
      <c r="D19" t="n">
        <v>10</v>
      </c>
      <c r="E19" t="inlineStr">
        <is>
          <t>Automático</t>
        </is>
      </c>
    </row>
    <row r="20">
      <c r="A20" t="inlineStr">
        <is>
          <t>auto_mig_31_1780223060833</t>
        </is>
      </c>
      <c r="B20" s="22" t="n">
        <v>46052</v>
      </c>
      <c r="C20" t="inlineStr">
        <is>
          <t>Ponto de 2026-01-30</t>
        </is>
      </c>
      <c r="D20" t="n">
        <v>11.28</v>
      </c>
      <c r="E20" t="inlineStr">
        <is>
          <t>Automático</t>
        </is>
      </c>
    </row>
    <row r="21">
      <c r="A21" t="inlineStr">
        <is>
          <t>auto_mig_32_1780223060833</t>
        </is>
      </c>
      <c r="B21" s="22" t="n">
        <v>46053</v>
      </c>
      <c r="C21" t="inlineStr">
        <is>
          <t>Ponto de 2026-01-31</t>
        </is>
      </c>
      <c r="D21" t="n">
        <v>24</v>
      </c>
      <c r="E21" t="inlineStr">
        <is>
          <t>Automático</t>
        </is>
      </c>
    </row>
    <row r="22">
      <c r="A22" t="inlineStr">
        <is>
          <t>auto_mig_36_1780223060833</t>
        </is>
      </c>
      <c r="B22" s="22" t="n">
        <v>46057</v>
      </c>
      <c r="C22" t="inlineStr">
        <is>
          <t>Ponto de 2026-02-04</t>
        </is>
      </c>
      <c r="D22" t="n">
        <v>8.6</v>
      </c>
      <c r="E22" t="inlineStr">
        <is>
          <t>Automático</t>
        </is>
      </c>
    </row>
    <row r="23">
      <c r="A23" t="inlineStr">
        <is>
          <t>auto_mig_37_1780223060833</t>
        </is>
      </c>
      <c r="B23" s="22" t="n">
        <v>46058</v>
      </c>
      <c r="C23" t="inlineStr">
        <is>
          <t>Ponto de 2026-02-05</t>
        </is>
      </c>
      <c r="D23" t="n">
        <v>9.4</v>
      </c>
      <c r="E23" t="inlineStr">
        <is>
          <t>Automático</t>
        </is>
      </c>
    </row>
    <row r="24">
      <c r="A24" t="inlineStr">
        <is>
          <t>auto_mig_38_1780223060833</t>
        </is>
      </c>
      <c r="B24" s="22" t="n">
        <v>46059</v>
      </c>
      <c r="C24" t="inlineStr">
        <is>
          <t>Ponto de 2026-02-06</t>
        </is>
      </c>
      <c r="D24" t="n">
        <v>10.2</v>
      </c>
      <c r="E24" t="inlineStr">
        <is>
          <t>Automático</t>
        </is>
      </c>
    </row>
    <row r="25">
      <c r="A25" t="inlineStr">
        <is>
          <t>auto_mig_39_1780223060833</t>
        </is>
      </c>
      <c r="B25" s="22" t="n">
        <v>46060</v>
      </c>
      <c r="C25" t="inlineStr">
        <is>
          <t>Ponto de 2026-02-07</t>
        </is>
      </c>
      <c r="D25" t="n">
        <v>25.4</v>
      </c>
      <c r="E25" t="inlineStr">
        <is>
          <t>Automático</t>
        </is>
      </c>
    </row>
    <row r="26">
      <c r="A26" t="inlineStr">
        <is>
          <t>auto_mig_42_1780223060834</t>
        </is>
      </c>
      <c r="B26" s="22" t="n">
        <v>46063</v>
      </c>
      <c r="C26" t="inlineStr">
        <is>
          <t>Ponto de 2026-02-10</t>
        </is>
      </c>
      <c r="D26" t="n">
        <v>11.2</v>
      </c>
      <c r="E26" t="inlineStr">
        <is>
          <t>Automático</t>
        </is>
      </c>
    </row>
    <row r="27">
      <c r="A27" t="inlineStr">
        <is>
          <t>auto_mig_43_1780223060834</t>
        </is>
      </c>
      <c r="B27" s="22" t="n">
        <v>46064</v>
      </c>
      <c r="C27" t="inlineStr">
        <is>
          <t>Ponto de 2026-02-11</t>
        </is>
      </c>
      <c r="D27" t="n">
        <v>12.2</v>
      </c>
      <c r="E27" t="inlineStr">
        <is>
          <t>Automático</t>
        </is>
      </c>
    </row>
    <row r="28">
      <c r="A28" t="inlineStr">
        <is>
          <t>auto_mig_44_1780223060834</t>
        </is>
      </c>
      <c r="B28" s="22" t="n">
        <v>46065</v>
      </c>
      <c r="C28" t="inlineStr">
        <is>
          <t>Ponto de 2026-02-12</t>
        </is>
      </c>
      <c r="D28" t="n">
        <v>10.6</v>
      </c>
      <c r="E28" t="inlineStr">
        <is>
          <t>Automático</t>
        </is>
      </c>
    </row>
    <row r="29">
      <c r="A29" t="inlineStr">
        <is>
          <t>auto_mig_45_1780223060834</t>
        </is>
      </c>
      <c r="B29" s="22" t="n">
        <v>46066</v>
      </c>
      <c r="C29" t="inlineStr">
        <is>
          <t>Ponto de 2026-02-13</t>
        </is>
      </c>
      <c r="D29" t="n">
        <v>10.4</v>
      </c>
      <c r="E29" t="inlineStr">
        <is>
          <t>Automático</t>
        </is>
      </c>
    </row>
    <row r="30">
      <c r="A30" t="inlineStr">
        <is>
          <t>auto_mig_46_1780223060834</t>
        </is>
      </c>
      <c r="B30" s="22" t="n">
        <v>46067</v>
      </c>
      <c r="C30" t="inlineStr">
        <is>
          <t>Ponto de 2026-02-14</t>
        </is>
      </c>
      <c r="D30" t="n">
        <v>25.4</v>
      </c>
      <c r="E30" t="inlineStr">
        <is>
          <t>Automático</t>
        </is>
      </c>
    </row>
    <row r="31">
      <c r="A31" t="inlineStr">
        <is>
          <t>auto_mig_51_1780223060834</t>
        </is>
      </c>
      <c r="B31" s="22" t="n">
        <v>46072</v>
      </c>
      <c r="C31" t="inlineStr">
        <is>
          <t>Ponto de 2026-02-19</t>
        </is>
      </c>
      <c r="D31" t="n">
        <v>9.6</v>
      </c>
      <c r="E31" t="inlineStr">
        <is>
          <t>Automático</t>
        </is>
      </c>
    </row>
    <row r="32">
      <c r="A32" t="inlineStr">
        <is>
          <t>auto_mig_52_1780223060834</t>
        </is>
      </c>
      <c r="B32" s="22" t="n">
        <v>46073</v>
      </c>
      <c r="C32" t="inlineStr">
        <is>
          <t>Ponto de 2026-02-20</t>
        </is>
      </c>
      <c r="D32" t="n">
        <v>11</v>
      </c>
      <c r="E32" t="inlineStr">
        <is>
          <t>Automático</t>
        </is>
      </c>
    </row>
    <row r="33">
      <c r="A33" t="inlineStr">
        <is>
          <t>auto_mig_53_1780223060834</t>
        </is>
      </c>
      <c r="B33" s="22" t="n">
        <v>46074</v>
      </c>
      <c r="C33" t="inlineStr">
        <is>
          <t>Ponto de 2026-02-21</t>
        </is>
      </c>
      <c r="D33" t="n">
        <v>26.2</v>
      </c>
      <c r="E33" t="inlineStr">
        <is>
          <t>Automático</t>
        </is>
      </c>
    </row>
    <row r="34">
      <c r="A34" t="inlineStr">
        <is>
          <t>auto_mig_56_1780223060834</t>
        </is>
      </c>
      <c r="B34" s="22" t="n">
        <v>46077</v>
      </c>
      <c r="C34" t="inlineStr">
        <is>
          <t>Ponto de 2026-02-24</t>
        </is>
      </c>
      <c r="D34" t="n">
        <v>15.8</v>
      </c>
      <c r="E34" t="inlineStr">
        <is>
          <t>Automático</t>
        </is>
      </c>
    </row>
    <row r="35">
      <c r="A35" t="inlineStr">
        <is>
          <t>auto_mig_57_1780223060834</t>
        </is>
      </c>
      <c r="B35" s="22" t="n">
        <v>46078</v>
      </c>
      <c r="C35" t="inlineStr">
        <is>
          <t>Ponto de 2026-02-25</t>
        </is>
      </c>
      <c r="D35" t="n">
        <v>13.4</v>
      </c>
      <c r="E35" t="inlineStr">
        <is>
          <t>Automático</t>
        </is>
      </c>
    </row>
    <row r="36">
      <c r="A36" t="inlineStr">
        <is>
          <t>auto_mig_58_1780223060834</t>
        </is>
      </c>
      <c r="B36" s="22" t="n">
        <v>46079</v>
      </c>
      <c r="C36" t="inlineStr">
        <is>
          <t>Ponto de 2026-02-26</t>
        </is>
      </c>
      <c r="D36" t="n">
        <v>11.2</v>
      </c>
      <c r="E36" t="inlineStr">
        <is>
          <t>Automático</t>
        </is>
      </c>
    </row>
    <row r="37">
      <c r="A37" t="inlineStr">
        <is>
          <t>auto_mig_59_1780223060834</t>
        </is>
      </c>
      <c r="B37" s="22" t="n">
        <v>46080</v>
      </c>
      <c r="C37" t="inlineStr">
        <is>
          <t>Ponto de 2026-02-27</t>
        </is>
      </c>
      <c r="D37" t="n">
        <v>13.64</v>
      </c>
      <c r="E37" t="inlineStr">
        <is>
          <t>Automático</t>
        </is>
      </c>
    </row>
    <row r="38">
      <c r="A38" t="inlineStr">
        <is>
          <t>auto_mig_60_1780223060834</t>
        </is>
      </c>
      <c r="B38" s="22" t="n">
        <v>46081</v>
      </c>
      <c r="C38" t="inlineStr">
        <is>
          <t>Ponto de 2026-02-28</t>
        </is>
      </c>
      <c r="D38" t="n">
        <v>30</v>
      </c>
      <c r="E38" t="inlineStr">
        <is>
          <t>Automático</t>
        </is>
      </c>
    </row>
    <row r="39">
      <c r="A39" t="inlineStr">
        <is>
          <t>auto_mig_64_1780223060835</t>
        </is>
      </c>
      <c r="B39" s="22" t="n">
        <v>46085</v>
      </c>
      <c r="C39" t="inlineStr">
        <is>
          <t>Ponto de 2026-03-04</t>
        </is>
      </c>
      <c r="D39" t="n">
        <v>9.199999999999999</v>
      </c>
      <c r="E39" t="inlineStr">
        <is>
          <t>Automático</t>
        </is>
      </c>
    </row>
    <row r="40">
      <c r="A40" t="inlineStr">
        <is>
          <t>auto_mig_65_1780223060835</t>
        </is>
      </c>
      <c r="B40" s="22" t="n">
        <v>46086</v>
      </c>
      <c r="C40" t="inlineStr">
        <is>
          <t>Ponto de 2026-03-05</t>
        </is>
      </c>
      <c r="D40" t="n">
        <v>9.6</v>
      </c>
      <c r="E40" t="inlineStr">
        <is>
          <t>Automático</t>
        </is>
      </c>
    </row>
    <row r="41">
      <c r="A41" t="inlineStr">
        <is>
          <t>auto_mig_66_1780223060835</t>
        </is>
      </c>
      <c r="B41" s="22" t="n">
        <v>46087</v>
      </c>
      <c r="C41" t="inlineStr">
        <is>
          <t>Ponto de 2026-03-06</t>
        </is>
      </c>
      <c r="D41" t="n">
        <v>8.48</v>
      </c>
      <c r="E41" t="inlineStr">
        <is>
          <t>Automático</t>
        </is>
      </c>
    </row>
    <row r="42">
      <c r="A42" t="inlineStr">
        <is>
          <t>auto_mig_67_1780223060835</t>
        </is>
      </c>
      <c r="B42" s="22" t="n">
        <v>46088</v>
      </c>
      <c r="C42" t="inlineStr">
        <is>
          <t>Ponto de 2026-03-07</t>
        </is>
      </c>
      <c r="D42" t="n">
        <v>26.72</v>
      </c>
      <c r="E42" t="inlineStr">
        <is>
          <t>Automático</t>
        </is>
      </c>
    </row>
    <row r="43">
      <c r="A43" t="inlineStr">
        <is>
          <t>auto_mig_70_1780223060835</t>
        </is>
      </c>
      <c r="B43" s="22" t="n">
        <v>46091</v>
      </c>
      <c r="C43" t="inlineStr">
        <is>
          <t>Ponto de 2026-03-10</t>
        </is>
      </c>
      <c r="D43" t="n">
        <v>12</v>
      </c>
      <c r="E43" t="inlineStr">
        <is>
          <t>Automático</t>
        </is>
      </c>
    </row>
    <row r="44">
      <c r="A44" t="inlineStr">
        <is>
          <t>auto_mig_71_1780223060835</t>
        </is>
      </c>
      <c r="B44" s="22" t="n">
        <v>46092</v>
      </c>
      <c r="C44" t="inlineStr">
        <is>
          <t>Ponto de 2026-03-11</t>
        </is>
      </c>
      <c r="D44" t="n">
        <v>11.2</v>
      </c>
      <c r="E44" t="inlineStr">
        <is>
          <t>Automático</t>
        </is>
      </c>
    </row>
    <row r="45">
      <c r="A45" t="inlineStr">
        <is>
          <t>auto_mig_72_1780223060835</t>
        </is>
      </c>
      <c r="B45" s="22" t="n">
        <v>46093</v>
      </c>
      <c r="C45" t="inlineStr">
        <is>
          <t>Ponto de 2026-03-12</t>
        </is>
      </c>
      <c r="D45" t="n">
        <v>9</v>
      </c>
      <c r="E45" t="inlineStr">
        <is>
          <t>Automático</t>
        </is>
      </c>
    </row>
    <row r="46">
      <c r="A46" t="inlineStr">
        <is>
          <t>auto_mig_73_1780223060835</t>
        </is>
      </c>
      <c r="B46" s="22" t="n">
        <v>46094</v>
      </c>
      <c r="C46" t="inlineStr">
        <is>
          <t>Ponto de 2026-03-13</t>
        </is>
      </c>
      <c r="D46" t="n">
        <v>10.8</v>
      </c>
      <c r="E46" t="inlineStr">
        <is>
          <t>Automático</t>
        </is>
      </c>
    </row>
    <row r="47">
      <c r="A47" t="inlineStr">
        <is>
          <t>auto_mig_74_1780223060835</t>
        </is>
      </c>
      <c r="B47" s="22" t="n">
        <v>46095</v>
      </c>
      <c r="C47" t="inlineStr">
        <is>
          <t>Ponto de 2026-03-14</t>
        </is>
      </c>
      <c r="D47" t="n">
        <v>26.2</v>
      </c>
      <c r="E47" t="inlineStr">
        <is>
          <t>Automático</t>
        </is>
      </c>
    </row>
    <row r="48">
      <c r="A48" t="inlineStr">
        <is>
          <t>auto_mig_77_1780223060835</t>
        </is>
      </c>
      <c r="B48" s="22" t="n">
        <v>46098</v>
      </c>
      <c r="C48" t="inlineStr">
        <is>
          <t>Ponto de 2026-03-17</t>
        </is>
      </c>
      <c r="D48" t="n">
        <v>10.8</v>
      </c>
      <c r="E48" t="inlineStr">
        <is>
          <t>Automático</t>
        </is>
      </c>
    </row>
    <row r="49">
      <c r="A49" t="inlineStr">
        <is>
          <t>auto_mig_78_1780223060835</t>
        </is>
      </c>
      <c r="B49" s="22" t="n">
        <v>46099</v>
      </c>
      <c r="C49" t="inlineStr">
        <is>
          <t>Ponto de 2026-03-18</t>
        </is>
      </c>
      <c r="D49" t="n">
        <v>10</v>
      </c>
      <c r="E49" t="inlineStr">
        <is>
          <t>Automático</t>
        </is>
      </c>
    </row>
    <row r="50">
      <c r="A50" t="inlineStr">
        <is>
          <t>auto_mig_79_1780223060835</t>
        </is>
      </c>
      <c r="B50" s="22" t="n">
        <v>46100</v>
      </c>
      <c r="C50" t="inlineStr">
        <is>
          <t>Ponto de 2026-03-19</t>
        </is>
      </c>
      <c r="D50" t="n">
        <v>9.6</v>
      </c>
      <c r="E50" t="inlineStr">
        <is>
          <t>Automático</t>
        </is>
      </c>
    </row>
    <row r="51">
      <c r="A51" t="inlineStr">
        <is>
          <t>auto_mig_80_1780223060835</t>
        </is>
      </c>
      <c r="B51" s="22" t="n">
        <v>46101</v>
      </c>
      <c r="C51" t="inlineStr">
        <is>
          <t>Ponto de 2026-03-20</t>
        </is>
      </c>
      <c r="D51" t="n">
        <v>11.4</v>
      </c>
      <c r="E51" t="inlineStr">
        <is>
          <t>Automático</t>
        </is>
      </c>
    </row>
    <row r="52">
      <c r="A52" t="inlineStr">
        <is>
          <t>auto_mig_81_1780223060835</t>
        </is>
      </c>
      <c r="B52" s="22" t="n">
        <v>46102</v>
      </c>
      <c r="C52" t="inlineStr">
        <is>
          <t>Ponto de 2026-03-21</t>
        </is>
      </c>
      <c r="D52" t="n">
        <v>28.2</v>
      </c>
      <c r="E52" t="inlineStr">
        <is>
          <t>Automático</t>
        </is>
      </c>
    </row>
    <row r="53">
      <c r="A53" t="inlineStr">
        <is>
          <t>auto_mig_84_1780223060835</t>
        </is>
      </c>
      <c r="B53" s="22" t="n">
        <v>46105</v>
      </c>
      <c r="C53" t="inlineStr">
        <is>
          <t>Ponto de 2026-03-24</t>
        </is>
      </c>
      <c r="D53" t="n">
        <v>8.6</v>
      </c>
      <c r="E53" t="inlineStr">
        <is>
          <t>Automático</t>
        </is>
      </c>
    </row>
    <row r="54">
      <c r="A54" t="inlineStr">
        <is>
          <t>auto_mig_85_1780223060835</t>
        </is>
      </c>
      <c r="B54" s="22" t="n">
        <v>46106</v>
      </c>
      <c r="C54" t="inlineStr">
        <is>
          <t>Ponto de 2026-03-25</t>
        </is>
      </c>
      <c r="D54" t="n">
        <v>9.199999999999999</v>
      </c>
      <c r="E54" t="inlineStr">
        <is>
          <t>Automático</t>
        </is>
      </c>
    </row>
    <row r="55">
      <c r="A55" t="inlineStr">
        <is>
          <t>auto_mig_86_1780223060835</t>
        </is>
      </c>
      <c r="B55" s="22" t="n">
        <v>46107</v>
      </c>
      <c r="C55" t="inlineStr">
        <is>
          <t>Ponto de 2026-03-26</t>
        </is>
      </c>
      <c r="D55" t="n">
        <v>8.92</v>
      </c>
      <c r="E55" t="inlineStr">
        <is>
          <t>Automático</t>
        </is>
      </c>
    </row>
    <row r="56">
      <c r="A56" t="inlineStr">
        <is>
          <t>auto_mig_87_1780223060835</t>
        </is>
      </c>
      <c r="B56" s="22" t="n">
        <v>46108</v>
      </c>
      <c r="C56" t="inlineStr">
        <is>
          <t>Ponto de 2026-03-27</t>
        </is>
      </c>
      <c r="D56" t="n">
        <v>10</v>
      </c>
      <c r="E56" t="inlineStr">
        <is>
          <t>Automático</t>
        </is>
      </c>
    </row>
    <row r="57">
      <c r="A57" t="inlineStr">
        <is>
          <t>auto_mig_88_1780223060835</t>
        </is>
      </c>
      <c r="B57" s="22" t="n">
        <v>46109</v>
      </c>
      <c r="C57" t="inlineStr">
        <is>
          <t>Ponto de 2026-03-28</t>
        </is>
      </c>
      <c r="D57" t="n">
        <v>25.52</v>
      </c>
      <c r="E57" t="inlineStr">
        <is>
          <t>Automático</t>
        </is>
      </c>
    </row>
    <row r="58">
      <c r="A58" t="inlineStr">
        <is>
          <t>auto_mig_91_1780223060835</t>
        </is>
      </c>
      <c r="B58" s="22" t="n">
        <v>46112</v>
      </c>
      <c r="C58" t="inlineStr">
        <is>
          <t>Ponto de 2026-03-31</t>
        </is>
      </c>
      <c r="D58" t="n">
        <v>13.2</v>
      </c>
      <c r="E58" t="inlineStr">
        <is>
          <t>Automático</t>
        </is>
      </c>
    </row>
    <row r="59">
      <c r="A59" t="inlineStr">
        <is>
          <t>auto_mig_92_1780223060835</t>
        </is>
      </c>
      <c r="B59" s="22" t="n">
        <v>46113</v>
      </c>
      <c r="C59" t="inlineStr">
        <is>
          <t>Ponto de 2026-04-01</t>
        </is>
      </c>
      <c r="D59" t="n">
        <v>9.199999999999999</v>
      </c>
      <c r="E59" t="inlineStr">
        <is>
          <t>Automático</t>
        </is>
      </c>
    </row>
    <row r="60">
      <c r="A60" t="inlineStr">
        <is>
          <t>auto_mig_93_1780223060835</t>
        </is>
      </c>
      <c r="B60" s="22" t="n">
        <v>46114</v>
      </c>
      <c r="C60" t="inlineStr">
        <is>
          <t>Ponto de 2026-04-02</t>
        </is>
      </c>
      <c r="D60" t="n">
        <v>9.24</v>
      </c>
      <c r="E60" t="inlineStr">
        <is>
          <t>Automático</t>
        </is>
      </c>
    </row>
    <row r="61">
      <c r="A61" t="inlineStr">
        <is>
          <t>auto_mig_98_1780223060836</t>
        </is>
      </c>
      <c r="B61" s="22" t="n">
        <v>46119</v>
      </c>
      <c r="C61" t="inlineStr">
        <is>
          <t>Ponto de 2026-04-07</t>
        </is>
      </c>
      <c r="D61" t="n">
        <v>10.24</v>
      </c>
      <c r="E61" t="inlineStr">
        <is>
          <t>Automático</t>
        </is>
      </c>
    </row>
    <row r="62">
      <c r="A62" t="inlineStr">
        <is>
          <t>auto_mig_99_1780223060836</t>
        </is>
      </c>
      <c r="B62" s="22" t="n">
        <v>46120</v>
      </c>
      <c r="C62" t="inlineStr">
        <is>
          <t>Ponto de 2026-04-08</t>
        </is>
      </c>
      <c r="D62" t="n">
        <v>9.279999999999999</v>
      </c>
      <c r="E62" t="inlineStr">
        <is>
          <t>Automático</t>
        </is>
      </c>
    </row>
    <row r="63">
      <c r="A63" t="inlineStr">
        <is>
          <t>auto_mig_100_1780223060836</t>
        </is>
      </c>
      <c r="B63" s="22" t="n">
        <v>46121</v>
      </c>
      <c r="C63" t="inlineStr">
        <is>
          <t>Ponto de 2026-04-09</t>
        </is>
      </c>
      <c r="D63" t="n">
        <v>12.2</v>
      </c>
      <c r="E63" t="inlineStr">
        <is>
          <t>Automático</t>
        </is>
      </c>
    </row>
    <row r="64">
      <c r="A64" t="inlineStr">
        <is>
          <t>auto_mig_101_1780223060836</t>
        </is>
      </c>
      <c r="B64" s="22" t="n">
        <v>46122</v>
      </c>
      <c r="C64" t="inlineStr">
        <is>
          <t>Ponto de 2026-04-10</t>
        </is>
      </c>
      <c r="D64" t="n">
        <v>9.24</v>
      </c>
      <c r="E64" t="inlineStr">
        <is>
          <t>Automático</t>
        </is>
      </c>
    </row>
    <row r="65">
      <c r="A65" t="inlineStr">
        <is>
          <t>auto_mig_102_1780223060836</t>
        </is>
      </c>
      <c r="B65" s="22" t="n">
        <v>46123</v>
      </c>
      <c r="C65" t="inlineStr">
        <is>
          <t>Ponto de 2026-04-11</t>
        </is>
      </c>
      <c r="D65" t="n">
        <v>25.4</v>
      </c>
      <c r="E65" t="inlineStr">
        <is>
          <t>Automático</t>
        </is>
      </c>
    </row>
    <row r="66">
      <c r="A66" t="inlineStr">
        <is>
          <t>auto_mig_105_1780223060836</t>
        </is>
      </c>
      <c r="B66" s="22" t="n">
        <v>46126</v>
      </c>
      <c r="C66" t="inlineStr">
        <is>
          <t>Ponto de 2026-04-14</t>
        </is>
      </c>
      <c r="D66" t="n">
        <v>14</v>
      </c>
      <c r="E66" t="inlineStr">
        <is>
          <t>Automático</t>
        </is>
      </c>
    </row>
    <row r="67">
      <c r="A67" t="inlineStr">
        <is>
          <t>auto_mig_106_1780223060836</t>
        </is>
      </c>
      <c r="B67" s="22" t="n">
        <v>46127</v>
      </c>
      <c r="C67" t="inlineStr">
        <is>
          <t>Ponto de 2026-04-15</t>
        </is>
      </c>
      <c r="D67" t="n">
        <v>8.6</v>
      </c>
      <c r="E67" t="inlineStr">
        <is>
          <t>Automático</t>
        </is>
      </c>
    </row>
    <row r="68">
      <c r="A68" t="inlineStr">
        <is>
          <t>auto_mig_107_1780223060836</t>
        </is>
      </c>
      <c r="B68" s="22" t="n">
        <v>46128</v>
      </c>
      <c r="C68" t="inlineStr">
        <is>
          <t>Ponto de 2026-04-16</t>
        </is>
      </c>
      <c r="D68" t="n">
        <v>8.800000000000001</v>
      </c>
      <c r="E68" t="inlineStr">
        <is>
          <t>Automático</t>
        </is>
      </c>
    </row>
    <row r="69">
      <c r="A69" t="inlineStr">
        <is>
          <t>auto_mig_108_1780223060836</t>
        </is>
      </c>
      <c r="B69" s="22" t="n">
        <v>46129</v>
      </c>
      <c r="C69" t="inlineStr">
        <is>
          <t>Ponto de 2026-04-17</t>
        </is>
      </c>
      <c r="D69" t="n">
        <v>8.800000000000001</v>
      </c>
      <c r="E69" t="inlineStr">
        <is>
          <t>Automático</t>
        </is>
      </c>
    </row>
    <row r="70">
      <c r="A70" t="inlineStr">
        <is>
          <t>auto_mig_109_1780223060836</t>
        </is>
      </c>
      <c r="B70" s="22" t="n">
        <v>46130</v>
      </c>
      <c r="C70" t="inlineStr">
        <is>
          <t>Ponto de 2026-04-18</t>
        </is>
      </c>
      <c r="D70" t="n">
        <v>25.2</v>
      </c>
      <c r="E70" t="inlineStr">
        <is>
          <t>Automático</t>
        </is>
      </c>
    </row>
    <row r="71">
      <c r="A71" t="inlineStr">
        <is>
          <t>auto_mig_113_1780223060836</t>
        </is>
      </c>
      <c r="B71" s="22" t="n">
        <v>46134</v>
      </c>
      <c r="C71" t="inlineStr">
        <is>
          <t>Ponto de 2026-04-22</t>
        </is>
      </c>
      <c r="D71" t="n">
        <v>10.4</v>
      </c>
      <c r="E71" t="inlineStr">
        <is>
          <t>Automático</t>
        </is>
      </c>
    </row>
    <row r="72">
      <c r="A72" t="inlineStr">
        <is>
          <t>auto_mig_114_1780223060836</t>
        </is>
      </c>
      <c r="B72" s="22" t="n">
        <v>46135</v>
      </c>
      <c r="C72" t="inlineStr">
        <is>
          <t>Ponto de 2026-04-23</t>
        </is>
      </c>
      <c r="D72" t="n">
        <v>8.880000000000001</v>
      </c>
      <c r="E72" t="inlineStr">
        <is>
          <t>Automático</t>
        </is>
      </c>
    </row>
    <row r="73">
      <c r="A73" t="inlineStr">
        <is>
          <t>auto_mig_115_1780223060836</t>
        </is>
      </c>
      <c r="B73" s="22" t="n">
        <v>46136</v>
      </c>
      <c r="C73" t="inlineStr">
        <is>
          <t>Ponto de 2026-04-24</t>
        </is>
      </c>
      <c r="D73" t="n">
        <v>11</v>
      </c>
      <c r="E73" t="inlineStr">
        <is>
          <t>Automático</t>
        </is>
      </c>
    </row>
    <row r="74">
      <c r="A74" t="inlineStr">
        <is>
          <t>auto_mig_116_1780223060836</t>
        </is>
      </c>
      <c r="B74" s="22" t="n">
        <v>46137</v>
      </c>
      <c r="C74" t="inlineStr">
        <is>
          <t>Ponto de 2026-04-25</t>
        </is>
      </c>
      <c r="D74" t="n">
        <v>25.2</v>
      </c>
      <c r="E74" t="inlineStr">
        <is>
          <t>Automático</t>
        </is>
      </c>
    </row>
    <row r="75">
      <c r="A75" t="inlineStr">
        <is>
          <t>auto_mig_119_1780223060836</t>
        </is>
      </c>
      <c r="B75" s="22" t="n">
        <v>46140</v>
      </c>
      <c r="C75" t="inlineStr">
        <is>
          <t>Ponto de 2026-04-28</t>
        </is>
      </c>
      <c r="D75" t="n">
        <v>12.96</v>
      </c>
      <c r="E75" t="inlineStr">
        <is>
          <t>Automático</t>
        </is>
      </c>
    </row>
    <row r="76">
      <c r="A76" t="inlineStr">
        <is>
          <t>auto_mig_120_1780223060836</t>
        </is>
      </c>
      <c r="B76" s="22" t="n">
        <v>46141</v>
      </c>
      <c r="C76" t="inlineStr">
        <is>
          <t>Ponto de 2026-04-29</t>
        </is>
      </c>
      <c r="D76" t="n">
        <v>9.800000000000001</v>
      </c>
      <c r="E76" t="inlineStr">
        <is>
          <t>Automático</t>
        </is>
      </c>
    </row>
    <row r="77">
      <c r="A77" t="inlineStr">
        <is>
          <t>auto_mig_121_1780223060836</t>
        </is>
      </c>
      <c r="B77" s="22" t="n">
        <v>46142</v>
      </c>
      <c r="C77" t="inlineStr">
        <is>
          <t>Ponto de 2026-04-30</t>
        </is>
      </c>
      <c r="D77" t="n">
        <v>10.28</v>
      </c>
      <c r="E77" t="inlineStr">
        <is>
          <t>Automático</t>
        </is>
      </c>
    </row>
    <row r="78">
      <c r="A78" t="inlineStr">
        <is>
          <t>auto_mig_123_1780223060836</t>
        </is>
      </c>
      <c r="B78" s="22" t="n">
        <v>46144</v>
      </c>
      <c r="C78" t="inlineStr">
        <is>
          <t>Ponto de 2026-05-02</t>
        </is>
      </c>
      <c r="D78" t="n">
        <v>19.28</v>
      </c>
      <c r="E78" t="inlineStr">
        <is>
          <t>Automático</t>
        </is>
      </c>
    </row>
    <row r="79">
      <c r="A79" t="inlineStr">
        <is>
          <t>auto_mig_126_1780223060836</t>
        </is>
      </c>
      <c r="B79" s="22" t="n">
        <v>46147</v>
      </c>
      <c r="C79" t="inlineStr">
        <is>
          <t>Ponto de 2026-05-05</t>
        </is>
      </c>
      <c r="D79" t="n">
        <v>7.8</v>
      </c>
      <c r="E79" t="inlineStr">
        <is>
          <t>Automático</t>
        </is>
      </c>
    </row>
    <row r="80">
      <c r="A80" t="inlineStr">
        <is>
          <t>auto_mig_127_1780223060836</t>
        </is>
      </c>
      <c r="B80" s="22" t="n">
        <v>46148</v>
      </c>
      <c r="C80" t="inlineStr">
        <is>
          <t>Ponto de 2026-05-06</t>
        </is>
      </c>
      <c r="D80" t="n">
        <v>7.4</v>
      </c>
      <c r="E80" t="inlineStr">
        <is>
          <t>Automático</t>
        </is>
      </c>
    </row>
    <row r="81">
      <c r="A81" t="inlineStr">
        <is>
          <t>auto_mig_128_1780223060836</t>
        </is>
      </c>
      <c r="B81" s="22" t="n">
        <v>46149</v>
      </c>
      <c r="C81" t="inlineStr">
        <is>
          <t>Ponto de 2026-05-07</t>
        </is>
      </c>
      <c r="D81" t="n">
        <v>7.8</v>
      </c>
      <c r="E81" t="inlineStr">
        <is>
          <t>Automático</t>
        </is>
      </c>
    </row>
    <row r="82">
      <c r="A82" t="inlineStr">
        <is>
          <t>auto_mig_133_1780223060836</t>
        </is>
      </c>
      <c r="B82" s="22" t="n">
        <v>46154</v>
      </c>
      <c r="C82" t="inlineStr">
        <is>
          <t>Ponto de 2026-05-12</t>
        </is>
      </c>
      <c r="D82" t="n">
        <v>13.4</v>
      </c>
      <c r="E82" t="inlineStr">
        <is>
          <t>Automático</t>
        </is>
      </c>
    </row>
    <row r="83">
      <c r="A83" t="inlineStr">
        <is>
          <t>auto_mig_134_1780223060836</t>
        </is>
      </c>
      <c r="B83" s="22" t="n">
        <v>46155</v>
      </c>
      <c r="C83" t="inlineStr">
        <is>
          <t>Ponto de 2026-05-13</t>
        </is>
      </c>
      <c r="D83" t="n">
        <v>9</v>
      </c>
      <c r="E83" t="inlineStr">
        <is>
          <t>Automático</t>
        </is>
      </c>
    </row>
    <row r="84">
      <c r="A84" t="inlineStr">
        <is>
          <t>auto_mig_135_1780223060836</t>
        </is>
      </c>
      <c r="B84" s="22" t="n">
        <v>46156</v>
      </c>
      <c r="C84" t="inlineStr">
        <is>
          <t>Ponto de 2026-05-14</t>
        </is>
      </c>
      <c r="D84" t="n">
        <v>8.4</v>
      </c>
      <c r="E84" t="inlineStr">
        <is>
          <t>Automático</t>
        </is>
      </c>
    </row>
    <row r="85">
      <c r="A85" t="inlineStr">
        <is>
          <t>auto_mig_136_1780223060837</t>
        </is>
      </c>
      <c r="B85" s="22" t="n">
        <v>46157</v>
      </c>
      <c r="C85" t="inlineStr">
        <is>
          <t>Ponto de 2026-05-15</t>
        </is>
      </c>
      <c r="D85" t="n">
        <v>9.199999999999999</v>
      </c>
      <c r="E85" t="inlineStr">
        <is>
          <t>Automático</t>
        </is>
      </c>
    </row>
    <row r="86">
      <c r="A86" t="inlineStr">
        <is>
          <t>auto_mig_137_1780223060837</t>
        </is>
      </c>
      <c r="B86" s="22" t="n">
        <v>46158</v>
      </c>
      <c r="C86" t="inlineStr">
        <is>
          <t>Ponto de 2026-05-16</t>
        </is>
      </c>
      <c r="D86" t="n">
        <v>18</v>
      </c>
      <c r="E86" t="inlineStr">
        <is>
          <t>Automático</t>
        </is>
      </c>
    </row>
    <row r="87">
      <c r="A87" t="inlineStr">
        <is>
          <t>auto_mig_140_1780223060837</t>
        </is>
      </c>
      <c r="B87" s="22" t="n">
        <v>46161</v>
      </c>
      <c r="C87" t="inlineStr">
        <is>
          <t>Ponto de 2026-05-19</t>
        </is>
      </c>
      <c r="D87" t="n">
        <v>8</v>
      </c>
      <c r="E87" t="inlineStr">
        <is>
          <t>Automático</t>
        </is>
      </c>
    </row>
    <row r="88">
      <c r="A88" t="inlineStr">
        <is>
          <t>auto_mig_141_1780223060837</t>
        </is>
      </c>
      <c r="B88" s="22" t="n">
        <v>46162</v>
      </c>
      <c r="C88" t="inlineStr">
        <is>
          <t>Ponto de 2026-05-20</t>
        </is>
      </c>
      <c r="D88" t="n">
        <v>11.8</v>
      </c>
      <c r="E88" t="inlineStr">
        <is>
          <t>Automático</t>
        </is>
      </c>
    </row>
    <row r="89">
      <c r="A89" t="inlineStr">
        <is>
          <t>auto_mig_142_1780223060837</t>
        </is>
      </c>
      <c r="B89" s="22" t="n">
        <v>46163</v>
      </c>
      <c r="C89" t="inlineStr">
        <is>
          <t>Ponto de 2026-05-21</t>
        </is>
      </c>
      <c r="D89" t="n">
        <v>9.199999999999999</v>
      </c>
      <c r="E89" t="inlineStr">
        <is>
          <t>Automático</t>
        </is>
      </c>
    </row>
    <row r="90">
      <c r="A90" t="inlineStr">
        <is>
          <t>auto_mig_143_1780223060837</t>
        </is>
      </c>
      <c r="B90" s="22" t="n">
        <v>46164</v>
      </c>
      <c r="C90" t="inlineStr">
        <is>
          <t>Ponto de 2026-05-22</t>
        </is>
      </c>
      <c r="D90" t="n">
        <v>10.8</v>
      </c>
      <c r="E90" t="inlineStr">
        <is>
          <t>Automático</t>
        </is>
      </c>
    </row>
    <row r="91">
      <c r="A91" t="inlineStr">
        <is>
          <t>auto_mig_144_1780223060837</t>
        </is>
      </c>
      <c r="B91" s="22" t="n">
        <v>46165</v>
      </c>
      <c r="C91" t="inlineStr">
        <is>
          <t>Ponto de 2026-05-23</t>
        </is>
      </c>
      <c r="D91" t="n">
        <v>26.08</v>
      </c>
      <c r="E91" t="inlineStr">
        <is>
          <t>Automático</t>
        </is>
      </c>
    </row>
    <row r="92">
      <c r="A92" t="inlineStr">
        <is>
          <t>auto_inv_178061283292416</t>
        </is>
      </c>
      <c r="B92" s="22" t="n">
        <v>46168</v>
      </c>
      <c r="C92" t="inlineStr">
        <is>
          <t>Ponto de 2026-05-26</t>
        </is>
      </c>
      <c r="D92" t="n">
        <v>11.8</v>
      </c>
      <c r="E92" t="inlineStr">
        <is>
          <t>Automático</t>
        </is>
      </c>
    </row>
    <row r="93">
      <c r="A93" t="inlineStr">
        <is>
          <t>auto_inv_17806128329257</t>
        </is>
      </c>
      <c r="B93" s="22" t="n">
        <v>46169</v>
      </c>
      <c r="C93" t="inlineStr">
        <is>
          <t>Ponto de 2026-05-27</t>
        </is>
      </c>
      <c r="D93" t="n">
        <v>9.199999999999999</v>
      </c>
      <c r="E93" t="inlineStr">
        <is>
          <t>Automático</t>
        </is>
      </c>
    </row>
    <row r="94">
      <c r="A94" t="inlineStr">
        <is>
          <t>auto_inv_178061283292514</t>
        </is>
      </c>
      <c r="B94" s="22" t="n">
        <v>46170</v>
      </c>
      <c r="C94" t="inlineStr">
        <is>
          <t>Ponto de 2026-05-28</t>
        </is>
      </c>
      <c r="D94" t="n">
        <v>8.800000000000001</v>
      </c>
      <c r="E94" t="inlineStr">
        <is>
          <t>Automático</t>
        </is>
      </c>
    </row>
    <row r="95">
      <c r="A95" t="inlineStr">
        <is>
          <t>auto_inv_178061283292524</t>
        </is>
      </c>
      <c r="B95" s="22" t="n">
        <v>46171</v>
      </c>
      <c r="C95" t="inlineStr">
        <is>
          <t>Ponto de 2026-05-29</t>
        </is>
      </c>
      <c r="D95" t="n">
        <v>9.6</v>
      </c>
      <c r="E95" t="inlineStr">
        <is>
          <t>Automático</t>
        </is>
      </c>
    </row>
    <row r="96">
      <c r="A96" t="inlineStr">
        <is>
          <t>auto_inv_178061283292531</t>
        </is>
      </c>
      <c r="B96" s="22" t="n">
        <v>46172</v>
      </c>
      <c r="C96" t="inlineStr">
        <is>
          <t>Ponto de 2026-05-30</t>
        </is>
      </c>
      <c r="D96" t="n">
        <v>25.48</v>
      </c>
      <c r="E96" t="inlineStr">
        <is>
          <t>Automático</t>
        </is>
      </c>
    </row>
    <row r="97">
      <c r="A97" t="inlineStr">
        <is>
          <t>auto_inv_178061283292525</t>
        </is>
      </c>
      <c r="B97" s="22" t="n">
        <v>46173</v>
      </c>
      <c r="C97" t="inlineStr">
        <is>
          <t>Ponto de 2026-05-31</t>
        </is>
      </c>
      <c r="D97" t="n">
        <v>0.04</v>
      </c>
      <c r="E97" t="inlineStr">
        <is>
          <t>Automático</t>
        </is>
      </c>
    </row>
  </sheetData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2026-01-30T19:28:17Z</dcterms:created>
  <dcterms:modified xsi:type="dcterms:W3CDTF">2026-06-10T19:10:34Z</dcterms:modified>
  <cp:lastModifiedBy>Usuário Convidado</cp:lastModifiedBy>
</cp:coreProperties>
</file>