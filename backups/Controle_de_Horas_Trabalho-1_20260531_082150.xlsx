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6440" activeTab="1"/>
  </bookViews>
  <sheets>
    <sheet sheetId="1" name="Controle de Horas" state="visible" r:id="rId4"/>
    <sheet sheetId="4" name="Filtro" state="visible" r:id="rId5"/>
    <sheet sheetId="2" name="Gestão Financeira" state="visible" r:id="rId6"/>
    <sheet sheetId="3" name="Investimentos" state="visible" r:id="rId7"/>
  </sheets>
  <calcPr calcId="171027"/>
</workbook>
</file>

<file path=xl/sharedStrings.xml><?xml version="1.0" encoding="utf-8"?>
<sst xmlns="http://schemas.openxmlformats.org/spreadsheetml/2006/main" count="871" uniqueCount="248">
  <si>
    <t>Data</t>
  </si>
  <si>
    <t>Dia da Semana</t>
  </si>
  <si>
    <t>Entrada 1</t>
  </si>
  <si>
    <t>Saída 1</t>
  </si>
  <si>
    <t>Entrada 2</t>
  </si>
  <si>
    <t>Saída 2</t>
  </si>
  <si>
    <t>Horas do Dia</t>
  </si>
  <si>
    <t>Valor do Dia (R$)</t>
  </si>
  <si>
    <t>Valor Hora</t>
  </si>
  <si>
    <t>Observações</t>
  </si>
  <si>
    <t>Status Pagamento</t>
  </si>
  <si>
    <t>Saída de Casa</t>
  </si>
  <si>
    <t>Chegada em Casa</t>
  </si>
  <si>
    <t>Tempo de Trajeto</t>
  </si>
  <si>
    <t>Tempo Fora de Casa</t>
  </si>
  <si>
    <t>Quinta-feira</t>
  </si>
  <si>
    <t>Pago</t>
  </si>
  <si>
    <t>Sexta-feira</t>
  </si>
  <si>
    <t>Sábado</t>
  </si>
  <si>
    <t>Domingo</t>
  </si>
  <si>
    <t>Segunda-feira</t>
  </si>
  <si>
    <t>Terça-feira</t>
  </si>
  <si>
    <t>17:05</t>
  </si>
  <si>
    <t>21:10</t>
  </si>
  <si>
    <t>Quarta-feira</t>
  </si>
  <si>
    <t>16:10</t>
  </si>
  <si>
    <t>21:20</t>
  </si>
  <si>
    <t>16:40</t>
  </si>
  <si>
    <t>21:00</t>
  </si>
  <si>
    <t>09:20</t>
  </si>
  <si>
    <t>12:00</t>
  </si>
  <si>
    <t>13:30</t>
  </si>
  <si>
    <t>21:45</t>
  </si>
  <si>
    <t>17:00</t>
  </si>
  <si>
    <t>22:00</t>
  </si>
  <si>
    <t>21:15</t>
  </si>
  <si>
    <t>09:35</t>
  </si>
  <si>
    <t>21:13</t>
  </si>
  <si>
    <t>17:10</t>
  </si>
  <si>
    <t>22:05</t>
  </si>
  <si>
    <t>13:25</t>
  </si>
  <si>
    <t>16:20</t>
  </si>
  <si>
    <t>23:15</t>
  </si>
  <si>
    <t>16:50</t>
  </si>
  <si>
    <t xml:space="preserve">venda 22lr 500 munição </t>
  </si>
  <si>
    <t>Soma de Valor do Dia (R$)</t>
  </si>
  <si>
    <t>Rótulos de Linha</t>
  </si>
  <si>
    <t>Soma de Horas do Dia</t>
  </si>
  <si>
    <t>jan</t>
  </si>
  <si>
    <t>fev</t>
  </si>
  <si>
    <t>mar</t>
  </si>
  <si>
    <t>abr</t>
  </si>
  <si>
    <t>mai</t>
  </si>
  <si>
    <t>jun</t>
  </si>
  <si>
    <t>jul</t>
  </si>
  <si>
    <t>Total Geral</t>
  </si>
  <si>
    <t>ago</t>
  </si>
  <si>
    <t>set</t>
  </si>
  <si>
    <t>out</t>
  </si>
  <si>
    <t>nov</t>
  </si>
  <si>
    <t>dez</t>
  </si>
  <si>
    <t>ID</t>
  </si>
  <si>
    <t>Descrição</t>
  </si>
  <si>
    <t>Tipo</t>
  </si>
  <si>
    <t>Valor</t>
  </si>
  <si>
    <t>Categoria</t>
  </si>
  <si>
    <t>Origem</t>
  </si>
  <si>
    <t>auto_mig_7_1780223060833</t>
  </si>
  <si>
    <t>Ponto de 2026-01-06</t>
  </si>
  <si>
    <t>Automático</t>
  </si>
  <si>
    <t>auto_mig_8_1780223060833</t>
  </si>
  <si>
    <t>Ponto de 2026-01-07</t>
  </si>
  <si>
    <t>auto_mig_9_1780223060833</t>
  </si>
  <si>
    <t>Ponto de 2026-01-08</t>
  </si>
  <si>
    <t>auto_mig_10_1780223060833</t>
  </si>
  <si>
    <t>Ponto de 2026-01-09</t>
  </si>
  <si>
    <t>auto_mig_11_1780223060833</t>
  </si>
  <si>
    <t>Ponto de 2026-01-10</t>
  </si>
  <si>
    <t>auto_mig_14_1780223060833</t>
  </si>
  <si>
    <t>Ponto de 2026-01-13</t>
  </si>
  <si>
    <t>auto_mig_15_1780223060833</t>
  </si>
  <si>
    <t>Ponto de 2026-01-14</t>
  </si>
  <si>
    <t>auto_mig_16_1780223060833</t>
  </si>
  <si>
    <t>Ponto de 2026-01-15</t>
  </si>
  <si>
    <t>auto_mig_17_1780223060833</t>
  </si>
  <si>
    <t>Ponto de 2026-01-16</t>
  </si>
  <si>
    <t>auto_mig_18_1780223060833</t>
  </si>
  <si>
    <t>Ponto de 2026-01-17</t>
  </si>
  <si>
    <t>auto_mig_21_1780223060833</t>
  </si>
  <si>
    <t>Ponto de 2026-01-20</t>
  </si>
  <si>
    <t>auto_mig_22_1780223060833</t>
  </si>
  <si>
    <t>Ponto de 2026-01-21</t>
  </si>
  <si>
    <t>auto_mig_23_1780223060833</t>
  </si>
  <si>
    <t>Ponto de 2026-01-22</t>
  </si>
  <si>
    <t>auto_mig_24_1780223060833</t>
  </si>
  <si>
    <t>Ponto de 2026-01-23</t>
  </si>
  <si>
    <t>auto_mig_25_1780223060833</t>
  </si>
  <si>
    <t>Ponto de 2026-01-24</t>
  </si>
  <si>
    <t>auto_mig_28_1780223060833</t>
  </si>
  <si>
    <t>Ponto de 2026-01-27</t>
  </si>
  <si>
    <t>auto_mig_29_1780223060833</t>
  </si>
  <si>
    <t>Ponto de 2026-01-28</t>
  </si>
  <si>
    <t>auto_mig_30_1780223060833</t>
  </si>
  <si>
    <t>Ponto de 2026-01-29</t>
  </si>
  <si>
    <t>auto_mig_31_1780223060833</t>
  </si>
  <si>
    <t>Ponto de 2026-01-30</t>
  </si>
  <si>
    <t>auto_mig_32_1780223060833</t>
  </si>
  <si>
    <t>Ponto de 2026-01-31</t>
  </si>
  <si>
    <t>auto_mig_36_1780223060833</t>
  </si>
  <si>
    <t>Ponto de 2026-02-04</t>
  </si>
  <si>
    <t>auto_mig_37_1780223060833</t>
  </si>
  <si>
    <t>Ponto de 2026-02-05</t>
  </si>
  <si>
    <t>auto_mig_38_1780223060833</t>
  </si>
  <si>
    <t>Ponto de 2026-02-06</t>
  </si>
  <si>
    <t>auto_mig_39_1780223060833</t>
  </si>
  <si>
    <t>Ponto de 2026-02-07</t>
  </si>
  <si>
    <t>auto_mig_42_1780223060834</t>
  </si>
  <si>
    <t>Ponto de 2026-02-10</t>
  </si>
  <si>
    <t>auto_mig_43_1780223060834</t>
  </si>
  <si>
    <t>Ponto de 2026-02-11</t>
  </si>
  <si>
    <t>auto_mig_44_1780223060834</t>
  </si>
  <si>
    <t>Ponto de 2026-02-12</t>
  </si>
  <si>
    <t>auto_mig_45_1780223060834</t>
  </si>
  <si>
    <t>Ponto de 2026-02-13</t>
  </si>
  <si>
    <t>auto_mig_46_1780223060834</t>
  </si>
  <si>
    <t>Ponto de 2026-02-14</t>
  </si>
  <si>
    <t>auto_mig_51_1780223060834</t>
  </si>
  <si>
    <t>Ponto de 2026-02-19</t>
  </si>
  <si>
    <t>auto_mig_52_1780223060834</t>
  </si>
  <si>
    <t>Ponto de 2026-02-20</t>
  </si>
  <si>
    <t>auto_mig_53_1780223060834</t>
  </si>
  <si>
    <t>Ponto de 2026-02-21</t>
  </si>
  <si>
    <t>auto_mig_56_1780223060834</t>
  </si>
  <si>
    <t>Ponto de 2026-02-24</t>
  </si>
  <si>
    <t>auto_mig_57_1780223060834</t>
  </si>
  <si>
    <t>Ponto de 2026-02-25</t>
  </si>
  <si>
    <t>auto_mig_58_1780223060834</t>
  </si>
  <si>
    <t>Ponto de 2026-02-26</t>
  </si>
  <si>
    <t>auto_mig_59_1780223060834</t>
  </si>
  <si>
    <t>Ponto de 2026-02-27</t>
  </si>
  <si>
    <t>auto_mig_60_1780223060834</t>
  </si>
  <si>
    <t>Ponto de 2026-02-28</t>
  </si>
  <si>
    <t>auto_mig_64_1780223060835</t>
  </si>
  <si>
    <t>Ponto de 2026-03-04</t>
  </si>
  <si>
    <t>auto_mig_65_1780223060835</t>
  </si>
  <si>
    <t>Ponto de 2026-03-05</t>
  </si>
  <si>
    <t>auto_mig_66_1780223060835</t>
  </si>
  <si>
    <t>Ponto de 2026-03-06</t>
  </si>
  <si>
    <t>auto_mig_67_1780223060835</t>
  </si>
  <si>
    <t>Ponto de 2026-03-07</t>
  </si>
  <si>
    <t>auto_mig_70_1780223060835</t>
  </si>
  <si>
    <t>Ponto de 2026-03-10</t>
  </si>
  <si>
    <t>auto_mig_71_1780223060835</t>
  </si>
  <si>
    <t>Ponto de 2026-03-11</t>
  </si>
  <si>
    <t>auto_mig_72_1780223060835</t>
  </si>
  <si>
    <t>Ponto de 2026-03-12</t>
  </si>
  <si>
    <t>auto_mig_73_1780223060835</t>
  </si>
  <si>
    <t>Ponto de 2026-03-13</t>
  </si>
  <si>
    <t>auto_mig_74_1780223060835</t>
  </si>
  <si>
    <t>Ponto de 2026-03-14</t>
  </si>
  <si>
    <t>auto_mig_77_1780223060835</t>
  </si>
  <si>
    <t>Ponto de 2026-03-17</t>
  </si>
  <si>
    <t>auto_mig_78_1780223060835</t>
  </si>
  <si>
    <t>Ponto de 2026-03-18</t>
  </si>
  <si>
    <t>auto_mig_79_1780223060835</t>
  </si>
  <si>
    <t>Ponto de 2026-03-19</t>
  </si>
  <si>
    <t>auto_mig_80_1780223060835</t>
  </si>
  <si>
    <t>Ponto de 2026-03-20</t>
  </si>
  <si>
    <t>auto_mig_81_1780223060835</t>
  </si>
  <si>
    <t>Ponto de 2026-03-21</t>
  </si>
  <si>
    <t>auto_mig_84_1780223060835</t>
  </si>
  <si>
    <t>Ponto de 2026-03-24</t>
  </si>
  <si>
    <t>auto_mig_85_1780223060835</t>
  </si>
  <si>
    <t>Ponto de 2026-03-25</t>
  </si>
  <si>
    <t>auto_mig_86_1780223060835</t>
  </si>
  <si>
    <t>Ponto de 2026-03-26</t>
  </si>
  <si>
    <t>auto_mig_87_1780223060835</t>
  </si>
  <si>
    <t>Ponto de 2026-03-27</t>
  </si>
  <si>
    <t>auto_mig_88_1780223060835</t>
  </si>
  <si>
    <t>Ponto de 2026-03-28</t>
  </si>
  <si>
    <t>auto_mig_91_1780223060835</t>
  </si>
  <si>
    <t>Ponto de 2026-03-31</t>
  </si>
  <si>
    <t>auto_mig_92_1780223060835</t>
  </si>
  <si>
    <t>Ponto de 2026-04-01</t>
  </si>
  <si>
    <t>auto_mig_93_1780223060835</t>
  </si>
  <si>
    <t>Ponto de 2026-04-02</t>
  </si>
  <si>
    <t>auto_mig_98_1780223060836</t>
  </si>
  <si>
    <t>Ponto de 2026-04-07</t>
  </si>
  <si>
    <t>auto_mig_99_1780223060836</t>
  </si>
  <si>
    <t>Ponto de 2026-04-08</t>
  </si>
  <si>
    <t>auto_mig_100_1780223060836</t>
  </si>
  <si>
    <t>Ponto de 2026-04-09</t>
  </si>
  <si>
    <t>auto_mig_101_1780223060836</t>
  </si>
  <si>
    <t>Ponto de 2026-04-10</t>
  </si>
  <si>
    <t>auto_mig_102_1780223060836</t>
  </si>
  <si>
    <t>Ponto de 2026-04-11</t>
  </si>
  <si>
    <t>auto_mig_105_1780223060836</t>
  </si>
  <si>
    <t>Ponto de 2026-04-14</t>
  </si>
  <si>
    <t>auto_mig_106_1780223060836</t>
  </si>
  <si>
    <t>Ponto de 2026-04-15</t>
  </si>
  <si>
    <t>auto_mig_107_1780223060836</t>
  </si>
  <si>
    <t>Ponto de 2026-04-16</t>
  </si>
  <si>
    <t>auto_mig_108_1780223060836</t>
  </si>
  <si>
    <t>Ponto de 2026-04-17</t>
  </si>
  <si>
    <t>auto_mig_109_1780223060836</t>
  </si>
  <si>
    <t>Ponto de 2026-04-18</t>
  </si>
  <si>
    <t>auto_mig_113_1780223060836</t>
  </si>
  <si>
    <t>Ponto de 2026-04-22</t>
  </si>
  <si>
    <t>auto_mig_114_1780223060836</t>
  </si>
  <si>
    <t>Ponto de 2026-04-23</t>
  </si>
  <si>
    <t>auto_mig_115_1780223060836</t>
  </si>
  <si>
    <t>Ponto de 2026-04-24</t>
  </si>
  <si>
    <t>auto_mig_116_1780223060836</t>
  </si>
  <si>
    <t>Ponto de 2026-04-25</t>
  </si>
  <si>
    <t>auto_mig_119_1780223060836</t>
  </si>
  <si>
    <t>Ponto de 2026-04-28</t>
  </si>
  <si>
    <t>auto_mig_120_1780223060836</t>
  </si>
  <si>
    <t>Ponto de 2026-04-29</t>
  </si>
  <si>
    <t>auto_mig_121_1780223060836</t>
  </si>
  <si>
    <t>Ponto de 2026-04-30</t>
  </si>
  <si>
    <t>auto_mig_123_1780223060836</t>
  </si>
  <si>
    <t>Ponto de 2026-05-02</t>
  </si>
  <si>
    <t>auto_mig_126_1780223060836</t>
  </si>
  <si>
    <t>Ponto de 2026-05-05</t>
  </si>
  <si>
    <t>auto_mig_127_1780223060836</t>
  </si>
  <si>
    <t>Ponto de 2026-05-06</t>
  </si>
  <si>
    <t>auto_mig_128_1780223060836</t>
  </si>
  <si>
    <t>Ponto de 2026-05-07</t>
  </si>
  <si>
    <t>auto_mig_133_1780223060836</t>
  </si>
  <si>
    <t>Ponto de 2026-05-12</t>
  </si>
  <si>
    <t>auto_mig_134_1780223060836</t>
  </si>
  <si>
    <t>Ponto de 2026-05-13</t>
  </si>
  <si>
    <t>auto_mig_135_1780223060836</t>
  </si>
  <si>
    <t>Ponto de 2026-05-14</t>
  </si>
  <si>
    <t>auto_mig_136_1780223060837</t>
  </si>
  <si>
    <t>Ponto de 2026-05-15</t>
  </si>
  <si>
    <t>auto_mig_137_1780223060837</t>
  </si>
  <si>
    <t>Ponto de 2026-05-16</t>
  </si>
  <si>
    <t>auto_mig_140_1780223060837</t>
  </si>
  <si>
    <t>Ponto de 2026-05-19</t>
  </si>
  <si>
    <t>auto_mig_141_1780223060837</t>
  </si>
  <si>
    <t>Ponto de 2026-05-20</t>
  </si>
  <si>
    <t>auto_mig_142_1780223060837</t>
  </si>
  <si>
    <t>Ponto de 2026-05-21</t>
  </si>
  <si>
    <t>auto_mig_143_1780223060837</t>
  </si>
  <si>
    <t>Ponto de 2026-05-22</t>
  </si>
  <si>
    <t>auto_mig_144_1780223060837</t>
  </si>
  <si>
    <t>Ponto de 2026-05-23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</si>
</sst>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:mm;@"/>
    <numFmt numFmtId="165" formatCode="[h]:mm"/>
  </numFmts>
  <fonts count="6" x14ac:knownFonts="1">
    <font>
      <color theme="1"/>
      <family val="2"/>
      <scheme val="minor"/>
      <sz val="11"/>
      <name val="Calibri"/>
    </font>
    <font>
      <scheme val="minor"/>
      <sz val="11"/>
      <name val="Calibri"/>
    </font>
    <font>
      <b/>
      <family val="2"/>
      <sz val="11"/>
      <name val="Calibri"/>
    </font>
    <font>
      <b/>
      <sz val="11"/>
      <name val="Calibri"/>
    </font>
    <font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3" borderId="0" xfId="0" applyFont="1" applyFill="1"/>
    <xf numFmtId="15" fontId="4" fillId="4" borderId="0" xfId="0" applyNumberFormat="1" applyFont="1" applyFill="1"/>
    <xf numFmtId="164" fontId="1" fillId="0" borderId="0" xfId="0" applyNumberFormat="1" applyFont="1"/>
    <xf numFmtId="4" fontId="1" fillId="0" borderId="0" xfId="0" applyNumberFormat="1" applyFont="1"/>
    <xf numFmtId="20" fontId="1" fillId="0" borderId="0" xfId="0" applyNumberFormat="1" applyFont="1" applyAlignment="1">
      <alignment horizontal="left"/>
    </xf>
    <xf numFmtId="20" fontId="4" fillId="0" borderId="0" xfId="0" applyNumberFormat="1" applyFont="1" applyAlignment="1">
      <alignment horizontal="left"/>
    </xf>
    <xf numFmtId="0" fontId="1" fillId="5" borderId="0" xfId="0" applyFont="1" applyFill="1"/>
    <xf numFmtId="0" fontId="1" fillId="6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15" fontId="4" fillId="5" borderId="0" xfId="0" applyNumberFormat="1" applyFont="1" applyFill="1"/>
    <xf numFmtId="0" fontId="1" fillId="2" borderId="0" xfId="0" applyFont="1" applyFill="1"/>
    <xf numFmtId="0" fontId="1" fillId="0" borderId="0" xfId="0" applyFont="1"/>
    <xf numFmtId="15" fontId="1" fillId="0" borderId="0" xfId="0" applyNumberFormat="1" applyFont="1"/>
    <xf numFmtId="165" fontId="1" fillId="0" borderId="0" xfId="0" applyNumberFormat="1" applyFont="1"/>
    <xf numFmtId="15" fontId="1" fillId="2" borderId="0" xfId="0" applyNumberFormat="1" applyFont="1" applyFill="1"/>
    <xf numFmtId="4" fontId="1" fillId="2" borderId="0" xfId="0" applyNumberFormat="1" applyFont="1" applyFill="1"/>
    <xf numFmtId="0" fontId="5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ela2" displayName="Tabela2" ref="A1:J366" totalsRowShown="1" headerRowCount="0">
  <autoFilter ref="A1:J36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Data"/>
    <tableColumn id="2" name="Dia da Semana"/>
    <tableColumn id="3" name="Entrada 1"/>
    <tableColumn id="4" name="Saída 1"/>
    <tableColumn id="5" name="Entrada 2"/>
    <tableColumn id="6" name="Saída 2"/>
    <tableColumn id="7" name="Horas do D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9"/>
  <sheetViews>
    <sheetView workbookViewId="0" zoomScale="80" zoomScaleNormal="100">
      <selection activeCell="F154" sqref="F154"/>
    </sheetView>
  </sheetViews>
  <sheetFormatPr defaultRowHeight="15" outlineLevelRow="0" outlineLevelCol="0" x14ac:dyDescent="0.2" defaultColWidth="12.5078125"/>
  <cols>
    <col min="1" max="2" width="17.484375" customWidth="1"/>
    <col min="3" max="6" width="17.484375" style="1" customWidth="1"/>
    <col min="7" max="7" width="17.484375" customWidth="1"/>
    <col min="8" max="8" width="19.234375" customWidth="1"/>
    <col min="9" max="9" width="13.1796875" customWidth="1"/>
    <col min="10" max="11" width="7.53125" customWidth="1"/>
  </cols>
  <sheetData>
    <row r="1" spans="1:15" x14ac:dyDescent="0.2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1" x14ac:dyDescent="0.25">
      <c r="A2" s="6">
        <v>46023</v>
      </c>
      <c r="B2" t="s">
        <v>15</v>
      </c>
      <c r="C2" s="1"/>
      <c r="D2" s="1"/>
      <c r="E2" s="1"/>
      <c r="F2" s="1"/>
      <c r="G2" s="7">
        <f t="shared" ref="G2:G65" si="0">IF(AND(C2&lt;&gt;"",D2&lt;&gt;""),(D2-C2),0)+IF(AND(E2&lt;&gt;"",F2&lt;&gt;""),(F2-E2),0)</f>
        <v>0</v>
      </c>
      <c r="H2" s="8">
        <f>(G2*24)*$I$2</f>
        <v>0</v>
      </c>
      <c r="I2">
        <v>12</v>
      </c>
      <c r="K2" t="s">
        <v>16</v>
      </c>
    </row>
    <row r="3" spans="1:11" x14ac:dyDescent="0.25">
      <c r="A3" s="6">
        <v>46024</v>
      </c>
      <c r="B3" t="s">
        <v>17</v>
      </c>
      <c r="C3" s="1"/>
      <c r="D3" s="1"/>
      <c r="E3" s="1"/>
      <c r="F3" s="1"/>
      <c r="G3" s="7">
        <f t="shared" si="0"/>
        <v>0</v>
      </c>
      <c r="H3" s="8">
        <f t="shared" ref="H3:H66" si="1">(G3*24)*$I$2</f>
        <v>0</v>
      </c>
      <c r="K3" t="s">
        <v>16</v>
      </c>
    </row>
    <row r="4" spans="1:11" x14ac:dyDescent="0.25">
      <c r="A4" s="6">
        <v>46025</v>
      </c>
      <c r="B4" t="s">
        <v>18</v>
      </c>
      <c r="C4" s="1"/>
      <c r="D4" s="1"/>
      <c r="E4" s="1"/>
      <c r="F4" s="1"/>
      <c r="G4" s="7">
        <f t="shared" si="0"/>
        <v>0</v>
      </c>
      <c r="H4" s="8">
        <f t="shared" si="1"/>
        <v>0</v>
      </c>
      <c r="K4" t="s">
        <v>16</v>
      </c>
    </row>
    <row r="5" spans="1:11" x14ac:dyDescent="0.25">
      <c r="A5" s="6">
        <v>46026</v>
      </c>
      <c r="B5" t="s">
        <v>19</v>
      </c>
      <c r="C5" s="1"/>
      <c r="D5" s="1"/>
      <c r="E5" s="1"/>
      <c r="F5" s="1"/>
      <c r="G5" s="7">
        <f t="shared" si="0"/>
        <v>0</v>
      </c>
      <c r="H5" s="8">
        <f t="shared" si="1"/>
        <v>0</v>
      </c>
      <c r="K5" t="s">
        <v>16</v>
      </c>
    </row>
    <row r="6" spans="1:11" x14ac:dyDescent="0.25">
      <c r="A6" s="6">
        <v>46027</v>
      </c>
      <c r="B6" t="s">
        <v>20</v>
      </c>
      <c r="C6" s="9"/>
      <c r="D6" s="9"/>
      <c r="E6" s="1"/>
      <c r="F6" s="1"/>
      <c r="G6" s="7">
        <f t="shared" si="0"/>
        <v>0</v>
      </c>
      <c r="H6" s="8">
        <f t="shared" si="1"/>
        <v>0</v>
      </c>
      <c r="K6" t="s">
        <v>16</v>
      </c>
    </row>
    <row r="7" spans="1:11" x14ac:dyDescent="0.25">
      <c r="A7" s="6">
        <v>46028</v>
      </c>
      <c r="B7" t="s">
        <v>21</v>
      </c>
      <c r="C7" s="1" t="s">
        <v>22</v>
      </c>
      <c r="D7" s="1" t="s">
        <v>23</v>
      </c>
      <c r="E7" s="1"/>
      <c r="F7" s="1"/>
      <c r="G7" s="7">
        <f t="shared" si="0"/>
        <v>0.17013888889050577</v>
      </c>
      <c r="H7" s="8">
        <f t="shared" si="1"/>
        <v>48.999999999999986</v>
      </c>
      <c r="K7" t="s">
        <v>16</v>
      </c>
    </row>
    <row r="8" spans="1:11" x14ac:dyDescent="0.25">
      <c r="A8" s="6">
        <v>46029</v>
      </c>
      <c r="B8" t="s">
        <v>24</v>
      </c>
      <c r="C8" s="1" t="s">
        <v>25</v>
      </c>
      <c r="D8" s="1" t="s">
        <v>26</v>
      </c>
      <c r="E8" s="1"/>
      <c r="F8" s="1"/>
      <c r="G8" s="7">
        <f t="shared" si="0"/>
        <v>0.21527777777737356</v>
      </c>
      <c r="H8" s="8">
        <f t="shared" si="1"/>
        <v>61.99999999999997</v>
      </c>
      <c r="K8" t="s">
        <v>16</v>
      </c>
    </row>
    <row r="9" spans="1:11" x14ac:dyDescent="0.25">
      <c r="A9" s="6">
        <v>46030</v>
      </c>
      <c r="B9" t="s">
        <v>15</v>
      </c>
      <c r="C9" s="1" t="s">
        <v>27</v>
      </c>
      <c r="D9" s="1" t="s">
        <v>28</v>
      </c>
      <c r="E9" s="1"/>
      <c r="F9" s="1"/>
      <c r="G9" s="7">
        <f t="shared" si="0"/>
        <v>0.18055555555474712</v>
      </c>
      <c r="H9" s="8">
        <f t="shared" si="1"/>
        <v>52.00000000000001</v>
      </c>
      <c r="K9" t="s">
        <v>16</v>
      </c>
    </row>
    <row r="10" spans="1:11" x14ac:dyDescent="0.25">
      <c r="A10" s="6">
        <v>46031</v>
      </c>
      <c r="B10" t="s">
        <v>17</v>
      </c>
      <c r="C10" s="1" t="s">
        <v>22</v>
      </c>
      <c r="D10" s="1" t="s">
        <v>28</v>
      </c>
      <c r="E10" s="1"/>
      <c r="F10" s="1"/>
      <c r="G10" s="7">
        <f t="shared" si="0"/>
        <v>0.16319444444525288</v>
      </c>
      <c r="H10" s="8">
        <f t="shared" si="1"/>
        <v>46.99999999999999</v>
      </c>
      <c r="K10" t="s">
        <v>16</v>
      </c>
    </row>
    <row r="11" spans="1:11" x14ac:dyDescent="0.25">
      <c r="A11" s="6">
        <v>46032</v>
      </c>
      <c r="B11" t="s">
        <v>18</v>
      </c>
      <c r="C11" s="1" t="s">
        <v>29</v>
      </c>
      <c r="D11" s="1" t="s">
        <v>30</v>
      </c>
      <c r="E11" s="1" t="s">
        <v>31</v>
      </c>
      <c r="F11" s="1" t="s">
        <v>32</v>
      </c>
      <c r="G11" s="7">
        <f t="shared" si="0"/>
        <v>0.45486111110949423</v>
      </c>
      <c r="H11" s="8">
        <f t="shared" si="1"/>
        <v>131</v>
      </c>
      <c r="K11" t="s">
        <v>16</v>
      </c>
    </row>
    <row r="12" spans="1:11" x14ac:dyDescent="0.25">
      <c r="A12" s="6">
        <v>46033</v>
      </c>
      <c r="B12" t="s">
        <v>19</v>
      </c>
      <c r="C12" s="1"/>
      <c r="D12" s="1"/>
      <c r="E12" s="1"/>
      <c r="F12" s="1"/>
      <c r="G12" s="7">
        <f t="shared" si="0"/>
        <v>0</v>
      </c>
      <c r="H12" s="8">
        <f t="shared" si="1"/>
        <v>0</v>
      </c>
      <c r="K12" t="s">
        <v>16</v>
      </c>
    </row>
    <row r="13" spans="1:11" x14ac:dyDescent="0.25">
      <c r="A13" s="6">
        <v>46034</v>
      </c>
      <c r="B13" t="s">
        <v>20</v>
      </c>
      <c r="C13" s="1"/>
      <c r="D13" s="1"/>
      <c r="E13" s="1"/>
      <c r="F13" s="1"/>
      <c r="G13" s="7">
        <f t="shared" si="0"/>
        <v>0</v>
      </c>
      <c r="H13" s="8">
        <f t="shared" si="1"/>
        <v>0</v>
      </c>
      <c r="K13" t="s">
        <v>16</v>
      </c>
    </row>
    <row r="14" spans="1:11" x14ac:dyDescent="0.25">
      <c r="A14" s="6">
        <v>46035</v>
      </c>
      <c r="B14" t="s">
        <v>21</v>
      </c>
      <c r="C14" s="1" t="s">
        <v>22</v>
      </c>
      <c r="D14" s="1" t="s">
        <v>28</v>
      </c>
      <c r="E14" s="1"/>
      <c r="F14" s="1"/>
      <c r="G14" s="7">
        <f t="shared" si="0"/>
        <v>0.16319444444525288</v>
      </c>
      <c r="H14" s="8">
        <f t="shared" si="1"/>
        <v>46.99999999999999</v>
      </c>
      <c r="K14" t="s">
        <v>16</v>
      </c>
    </row>
    <row r="15" spans="1:11" x14ac:dyDescent="0.25">
      <c r="A15" s="6">
        <v>46036</v>
      </c>
      <c r="B15" t="s">
        <v>24</v>
      </c>
      <c r="C15" s="1" t="s">
        <v>33</v>
      </c>
      <c r="D15" s="1" t="s">
        <v>28</v>
      </c>
      <c r="E15" s="1"/>
      <c r="F15" s="1"/>
      <c r="G15" s="7">
        <f t="shared" si="0"/>
        <v>0.16666666666787933</v>
      </c>
      <c r="H15" s="8">
        <f t="shared" si="1"/>
        <v>47.999999999999986</v>
      </c>
      <c r="K15" t="s">
        <v>16</v>
      </c>
    </row>
    <row r="16" spans="1:11" x14ac:dyDescent="0.25">
      <c r="A16" s="6">
        <v>46037</v>
      </c>
      <c r="B16" t="s">
        <v>15</v>
      </c>
      <c r="C16" s="1" t="s">
        <v>22</v>
      </c>
      <c r="D16" s="1" t="s">
        <v>34</v>
      </c>
      <c r="E16" s="1"/>
      <c r="F16" s="1"/>
      <c r="G16" s="7">
        <f t="shared" si="0"/>
        <v>0.20486111110949423</v>
      </c>
      <c r="H16" s="8">
        <f t="shared" si="1"/>
        <v>58.999999999999986</v>
      </c>
      <c r="K16" t="s">
        <v>16</v>
      </c>
    </row>
    <row r="17" spans="1:11" x14ac:dyDescent="0.25">
      <c r="A17" s="6">
        <v>46038</v>
      </c>
      <c r="B17" t="s">
        <v>17</v>
      </c>
      <c r="C17" s="1" t="s">
        <v>33</v>
      </c>
      <c r="D17" s="1" t="s">
        <v>35</v>
      </c>
      <c r="E17" s="1"/>
      <c r="F17" s="1"/>
      <c r="G17" s="7">
        <f t="shared" si="0"/>
        <v>0.17708333333212067</v>
      </c>
      <c r="H17" s="8">
        <f t="shared" si="1"/>
        <v>50.99999999999998</v>
      </c>
      <c r="K17" t="s">
        <v>16</v>
      </c>
    </row>
    <row r="18" spans="1:11" x14ac:dyDescent="0.25">
      <c r="A18" s="6">
        <v>46039</v>
      </c>
      <c r="B18" t="s">
        <v>18</v>
      </c>
      <c r="C18" s="1" t="s">
        <v>36</v>
      </c>
      <c r="D18" s="1" t="s">
        <v>30</v>
      </c>
      <c r="E18" s="1" t="s">
        <v>31</v>
      </c>
      <c r="F18" s="1" t="s">
        <v>37</v>
      </c>
      <c r="G18" s="7">
        <f t="shared" si="0"/>
        <v>0.42222222222335404</v>
      </c>
      <c r="H18" s="8">
        <f t="shared" si="1"/>
        <v>121.6</v>
      </c>
      <c r="K18" t="s">
        <v>16</v>
      </c>
    </row>
    <row r="19" spans="1:11" x14ac:dyDescent="0.25">
      <c r="A19" s="6">
        <v>46040</v>
      </c>
      <c r="B19" t="s">
        <v>19</v>
      </c>
      <c r="C19" s="1"/>
      <c r="D19" s="1"/>
      <c r="E19" s="1"/>
      <c r="F19" s="1"/>
      <c r="G19" s="7">
        <f t="shared" si="0"/>
        <v>0</v>
      </c>
      <c r="H19" s="8">
        <f t="shared" si="1"/>
        <v>0</v>
      </c>
      <c r="K19" t="s">
        <v>16</v>
      </c>
    </row>
    <row r="20" spans="1:11" x14ac:dyDescent="0.25">
      <c r="A20" s="6">
        <v>46041</v>
      </c>
      <c r="B20" t="s">
        <v>20</v>
      </c>
      <c r="C20" s="1"/>
      <c r="D20" s="1"/>
      <c r="E20" s="1"/>
      <c r="F20" s="1"/>
      <c r="G20" s="7">
        <f t="shared" si="0"/>
        <v>0</v>
      </c>
      <c r="H20" s="8">
        <f t="shared" si="1"/>
        <v>0</v>
      </c>
      <c r="K20" t="s">
        <v>16</v>
      </c>
    </row>
    <row r="21" ht="15.75" customHeight="1" spans="1:11" x14ac:dyDescent="0.25">
      <c r="A21" s="6">
        <v>46042</v>
      </c>
      <c r="B21" t="s">
        <v>21</v>
      </c>
      <c r="C21" s="1" t="s">
        <v>22</v>
      </c>
      <c r="D21" s="1" t="s">
        <v>35</v>
      </c>
      <c r="E21" s="1"/>
      <c r="F21" s="1"/>
      <c r="G21" s="7">
        <f t="shared" si="0"/>
        <v>0.17361111110949423</v>
      </c>
      <c r="H21" s="8">
        <f t="shared" si="1"/>
        <v>49.999999999999986</v>
      </c>
      <c r="K21" t="s">
        <v>16</v>
      </c>
    </row>
    <row r="22" ht="15.75" customHeight="1" spans="1:11" x14ac:dyDescent="0.25">
      <c r="A22" s="6">
        <v>46043</v>
      </c>
      <c r="B22" t="s">
        <v>24</v>
      </c>
      <c r="C22" s="1" t="s">
        <v>38</v>
      </c>
      <c r="D22" s="1" t="s">
        <v>39</v>
      </c>
      <c r="E22" s="1"/>
      <c r="F22" s="1"/>
      <c r="G22" s="7">
        <f t="shared" si="0"/>
        <v>0.20486111110949423</v>
      </c>
      <c r="H22" s="8">
        <f t="shared" si="1"/>
        <v>58.999999999999986</v>
      </c>
      <c r="K22" t="s">
        <v>16</v>
      </c>
    </row>
    <row r="23" ht="15.75" customHeight="1" spans="1:11" x14ac:dyDescent="0.25">
      <c r="A23" s="6">
        <v>46044</v>
      </c>
      <c r="B23" t="s">
        <v>15</v>
      </c>
      <c r="C23" s="1" t="s">
        <v>22</v>
      </c>
      <c r="D23" s="1" t="s">
        <v>28</v>
      </c>
      <c r="E23" s="1"/>
      <c r="F23" s="1"/>
      <c r="G23" s="7">
        <f t="shared" si="0"/>
        <v>0.16319444444525288</v>
      </c>
      <c r="H23" s="8">
        <f t="shared" si="1"/>
        <v>46.99999999999999</v>
      </c>
      <c r="K23" t="s">
        <v>16</v>
      </c>
    </row>
    <row r="24" ht="15.75" customHeight="1" spans="1:11" x14ac:dyDescent="0.25">
      <c r="A24" s="6">
        <v>46045</v>
      </c>
      <c r="B24" t="s">
        <v>17</v>
      </c>
      <c r="C24" s="1" t="s">
        <v>22</v>
      </c>
      <c r="D24" s="1" t="s">
        <v>26</v>
      </c>
      <c r="E24" s="1"/>
      <c r="F24" s="1"/>
      <c r="G24" s="7">
        <f t="shared" si="0"/>
        <v>0.17708333333212067</v>
      </c>
      <c r="H24" s="8">
        <f t="shared" si="1"/>
        <v>50.99999999999998</v>
      </c>
      <c r="K24" t="s">
        <v>16</v>
      </c>
    </row>
    <row r="25" ht="15.75" customHeight="1" spans="1:11" x14ac:dyDescent="0.25">
      <c r="A25" s="6">
        <v>46046</v>
      </c>
      <c r="B25" t="s">
        <v>18</v>
      </c>
      <c r="C25" s="1" t="s">
        <v>40</v>
      </c>
      <c r="D25" s="1" t="s">
        <v>23</v>
      </c>
      <c r="E25" s="1"/>
      <c r="F25" s="1"/>
      <c r="G25" s="7">
        <f t="shared" si="0"/>
        <v>0.3229166666678793</v>
      </c>
      <c r="H25" s="8">
        <f t="shared" si="1"/>
        <v>92.99999999999999</v>
      </c>
      <c r="K25" t="s">
        <v>16</v>
      </c>
    </row>
    <row r="26" ht="15.75" customHeight="1" spans="1:11" x14ac:dyDescent="0.25">
      <c r="A26" s="6">
        <v>46047</v>
      </c>
      <c r="B26" t="s">
        <v>19</v>
      </c>
      <c r="C26" s="1"/>
      <c r="D26" s="1"/>
      <c r="E26" s="1"/>
      <c r="F26" s="1"/>
      <c r="G26" s="7">
        <f t="shared" si="0"/>
        <v>0</v>
      </c>
      <c r="H26" s="8">
        <f t="shared" si="1"/>
        <v>0</v>
      </c>
      <c r="K26" t="s">
        <v>16</v>
      </c>
    </row>
    <row r="27" ht="15.75" customHeight="1" spans="1:11" x14ac:dyDescent="0.25">
      <c r="A27" s="6">
        <v>46048</v>
      </c>
      <c r="B27" t="s">
        <v>20</v>
      </c>
      <c r="C27" s="1"/>
      <c r="D27" s="1"/>
      <c r="E27" s="1"/>
      <c r="F27" s="1"/>
      <c r="G27" s="7">
        <f t="shared" si="0"/>
        <v>0</v>
      </c>
      <c r="H27" s="8">
        <f t="shared" si="1"/>
        <v>0</v>
      </c>
      <c r="K27" t="s">
        <v>16</v>
      </c>
    </row>
    <row r="28" ht="15.75" customHeight="1" spans="1:11" x14ac:dyDescent="0.25">
      <c r="A28" s="6">
        <v>46049</v>
      </c>
      <c r="B28" t="s">
        <v>21</v>
      </c>
      <c r="C28" s="1" t="s">
        <v>41</v>
      </c>
      <c r="D28" s="1" t="s">
        <v>42</v>
      </c>
      <c r="E28" s="1"/>
      <c r="F28" s="1"/>
      <c r="G28" s="7">
        <f t="shared" si="0"/>
        <v>0.2881944444452529</v>
      </c>
      <c r="H28" s="8">
        <f t="shared" si="1"/>
        <v>83</v>
      </c>
      <c r="K28" t="s">
        <v>16</v>
      </c>
    </row>
    <row r="29" ht="15.75" customHeight="1" spans="1:11" x14ac:dyDescent="0.25">
      <c r="A29" s="6">
        <v>46050</v>
      </c>
      <c r="B29" t="s">
        <v>24</v>
      </c>
      <c r="C29" s="1" t="s">
        <v>22</v>
      </c>
      <c r="D29" s="1" t="s">
        <v>32</v>
      </c>
      <c r="E29" s="1"/>
      <c r="F29" s="1"/>
      <c r="G29" s="7">
        <f t="shared" si="0"/>
        <v>0.19444444444525288</v>
      </c>
      <c r="H29" s="8">
        <f t="shared" si="1"/>
        <v>55.99999999999999</v>
      </c>
      <c r="K29" t="s">
        <v>16</v>
      </c>
    </row>
    <row r="30" ht="15.75" customHeight="1" spans="1:11" x14ac:dyDescent="0.25">
      <c r="A30" s="6">
        <v>46051</v>
      </c>
      <c r="B30" t="s">
        <v>15</v>
      </c>
      <c r="C30" s="1" t="s">
        <v>43</v>
      </c>
      <c r="D30" s="10">
        <v>0.875</v>
      </c>
      <c r="E30" s="1"/>
      <c r="F30" s="1"/>
      <c r="G30" s="7">
        <f t="shared" si="0"/>
        <v>0.17361111110949423</v>
      </c>
      <c r="H30" s="8">
        <f t="shared" si="1"/>
        <v>50.000000000000014</v>
      </c>
      <c r="K30" t="s">
        <v>16</v>
      </c>
    </row>
    <row r="31" ht="15.75" customHeight="1" spans="1:11" x14ac:dyDescent="0.25">
      <c r="A31" s="6">
        <v>46052</v>
      </c>
      <c r="B31" t="s">
        <v>17</v>
      </c>
      <c r="C31" s="9">
        <v>0.7138888888875954</v>
      </c>
      <c r="D31" s="9">
        <v>0.9097222222226264</v>
      </c>
      <c r="E31" s="1"/>
      <c r="F31" s="1"/>
      <c r="G31" s="7">
        <f t="shared" si="0"/>
        <v>0.19583333333503106</v>
      </c>
      <c r="H31" s="8">
        <f t="shared" si="1"/>
        <v>56.39999999999999</v>
      </c>
      <c r="K31" t="s">
        <v>16</v>
      </c>
    </row>
    <row r="32" ht="15.75" customHeight="1" spans="1:11" x14ac:dyDescent="0.25">
      <c r="A32" s="6">
        <v>46053</v>
      </c>
      <c r="B32" t="s">
        <v>18</v>
      </c>
      <c r="C32" s="9">
        <v>0.3993055555547471</v>
      </c>
      <c r="D32" s="9">
        <v>0.5</v>
      </c>
      <c r="E32" s="9">
        <v>0.5590277777773736</v>
      </c>
      <c r="F32" s="9">
        <v>0.875</v>
      </c>
      <c r="G32" s="7">
        <f t="shared" si="0"/>
        <v>0.4166666666678793</v>
      </c>
      <c r="H32" s="8">
        <f t="shared" si="1"/>
        <v>120</v>
      </c>
      <c r="K32" t="s">
        <v>16</v>
      </c>
    </row>
    <row r="33" ht="15.75" customHeight="1" spans="1:11" x14ac:dyDescent="0.25">
      <c r="A33" s="6">
        <v>46054</v>
      </c>
      <c r="B33" t="s">
        <v>19</v>
      </c>
      <c r="C33" s="1"/>
      <c r="D33" s="1"/>
      <c r="E33" s="1"/>
      <c r="F33" s="1"/>
      <c r="G33" s="7">
        <f t="shared" si="0"/>
        <v>0</v>
      </c>
      <c r="H33" s="8">
        <f t="shared" si="1"/>
        <v>0</v>
      </c>
      <c r="I33" s="11"/>
      <c r="K33" t="s">
        <v>16</v>
      </c>
    </row>
    <row r="34" ht="15.75" customHeight="1" spans="1:11" x14ac:dyDescent="0.25">
      <c r="A34" s="6">
        <v>46055</v>
      </c>
      <c r="B34" t="s">
        <v>20</v>
      </c>
      <c r="C34" s="1"/>
      <c r="D34" s="1"/>
      <c r="E34" s="1"/>
      <c r="F34" s="1"/>
      <c r="G34" s="7">
        <f t="shared" si="0"/>
        <v>0</v>
      </c>
      <c r="H34" s="8">
        <f t="shared" si="1"/>
        <v>0</v>
      </c>
      <c r="K34" t="s">
        <v>16</v>
      </c>
    </row>
    <row r="35" ht="15.75" customHeight="1" spans="1:11" x14ac:dyDescent="0.25">
      <c r="A35" s="6">
        <v>46056</v>
      </c>
      <c r="B35" t="s">
        <v>21</v>
      </c>
      <c r="C35" s="1"/>
      <c r="D35" s="1"/>
      <c r="E35" s="1"/>
      <c r="F35" s="1"/>
      <c r="G35" s="7">
        <f t="shared" si="0"/>
        <v>0</v>
      </c>
      <c r="H35" s="8">
        <f t="shared" si="1"/>
        <v>0</v>
      </c>
      <c r="K35" t="s">
        <v>16</v>
      </c>
    </row>
    <row r="36" ht="15.75" customHeight="1" spans="1:11" x14ac:dyDescent="0.25">
      <c r="A36" s="6">
        <v>46057</v>
      </c>
      <c r="B36" t="s">
        <v>24</v>
      </c>
      <c r="C36" s="9">
        <v>0.7256944444452529</v>
      </c>
      <c r="D36" s="9">
        <v>0.875</v>
      </c>
      <c r="E36" s="1"/>
      <c r="F36" s="1"/>
      <c r="G36" s="7">
        <f t="shared" si="0"/>
        <v>0.14930555555474712</v>
      </c>
      <c r="H36" s="8">
        <f t="shared" si="1"/>
        <v>43.00000000000001</v>
      </c>
      <c r="K36" t="s">
        <v>16</v>
      </c>
    </row>
    <row r="37" ht="15.75" customHeight="1" spans="1:11" x14ac:dyDescent="0.25">
      <c r="A37" s="6">
        <v>46058</v>
      </c>
      <c r="B37" t="s">
        <v>15</v>
      </c>
      <c r="C37" s="9">
        <v>0.7118055555547471</v>
      </c>
      <c r="D37" s="9">
        <v>0.875</v>
      </c>
      <c r="E37" s="1"/>
      <c r="F37" s="1"/>
      <c r="G37" s="7">
        <f t="shared" si="0"/>
        <v>0.16319444444525288</v>
      </c>
      <c r="H37" s="8">
        <f t="shared" si="1"/>
        <v>46.99999999999999</v>
      </c>
      <c r="K37" t="s">
        <v>16</v>
      </c>
    </row>
    <row r="38" ht="15.75" customHeight="1" spans="1:11" x14ac:dyDescent="0.25">
      <c r="A38" s="6">
        <v>46059</v>
      </c>
      <c r="B38" t="s">
        <v>17</v>
      </c>
      <c r="C38" s="9">
        <v>0.7083333333321207</v>
      </c>
      <c r="D38" s="9">
        <v>0.8854166666678793</v>
      </c>
      <c r="E38" s="1"/>
      <c r="F38" s="1"/>
      <c r="G38" s="7">
        <f t="shared" si="0"/>
        <v>0.17708333333212067</v>
      </c>
      <c r="H38" s="8">
        <f t="shared" si="1"/>
        <v>50.99999999999998</v>
      </c>
      <c r="K38" t="s">
        <v>16</v>
      </c>
    </row>
    <row r="39" ht="15.75" customHeight="1" spans="1:11" x14ac:dyDescent="0.25">
      <c r="A39" s="6">
        <v>46060</v>
      </c>
      <c r="B39" t="s">
        <v>18</v>
      </c>
      <c r="C39" s="9">
        <v>0.3645833333321207</v>
      </c>
      <c r="D39" s="9">
        <v>0.5</v>
      </c>
      <c r="E39" s="9">
        <v>0.5694444444452529</v>
      </c>
      <c r="F39" s="9">
        <v>0.875</v>
      </c>
      <c r="G39" s="7">
        <f t="shared" si="0"/>
        <v>0.44097222222262644</v>
      </c>
      <c r="H39" s="8">
        <f t="shared" si="1"/>
        <v>127</v>
      </c>
      <c r="K39" t="s">
        <v>16</v>
      </c>
    </row>
    <row r="40" ht="15.75" customHeight="1" spans="1:11" x14ac:dyDescent="0.25">
      <c r="A40" s="6">
        <v>46061</v>
      </c>
      <c r="B40" t="s">
        <v>19</v>
      </c>
      <c r="C40" s="1"/>
      <c r="D40" s="1"/>
      <c r="E40" s="1"/>
      <c r="F40" s="1"/>
      <c r="G40" s="7">
        <f t="shared" si="0"/>
        <v>0</v>
      </c>
      <c r="H40" s="8">
        <f t="shared" si="1"/>
        <v>0</v>
      </c>
      <c r="K40" t="s">
        <v>16</v>
      </c>
    </row>
    <row r="41" ht="15.75" customHeight="1" spans="1:11" x14ac:dyDescent="0.25">
      <c r="A41" s="6">
        <v>46062</v>
      </c>
      <c r="B41" t="s">
        <v>20</v>
      </c>
      <c r="C41" s="1"/>
      <c r="D41" s="1"/>
      <c r="E41" s="1"/>
      <c r="F41" s="1"/>
      <c r="G41" s="7">
        <f t="shared" si="0"/>
        <v>0</v>
      </c>
      <c r="H41" s="8">
        <f t="shared" si="1"/>
        <v>0</v>
      </c>
      <c r="K41" t="s">
        <v>16</v>
      </c>
    </row>
    <row r="42" ht="15.75" customHeight="1" spans="1:11" x14ac:dyDescent="0.25">
      <c r="A42" s="6">
        <v>46063</v>
      </c>
      <c r="B42" t="s">
        <v>21</v>
      </c>
      <c r="C42" s="9">
        <v>0.7083333333321207</v>
      </c>
      <c r="D42" s="9">
        <v>0.9027777777773736</v>
      </c>
      <c r="E42" s="1"/>
      <c r="F42" s="1"/>
      <c r="G42" s="7">
        <f t="shared" si="0"/>
        <v>0.19444444444525288</v>
      </c>
      <c r="H42" s="8">
        <f t="shared" si="1"/>
        <v>55.99999999999999</v>
      </c>
      <c r="K42" t="s">
        <v>16</v>
      </c>
    </row>
    <row r="43" ht="15.75" customHeight="1" spans="1:11" x14ac:dyDescent="0.25">
      <c r="A43" s="6">
        <v>46064</v>
      </c>
      <c r="B43" t="s">
        <v>24</v>
      </c>
      <c r="C43" s="9">
        <v>0.7083333333321207</v>
      </c>
      <c r="D43" s="9">
        <v>0.9201388888905058</v>
      </c>
      <c r="E43" s="1"/>
      <c r="F43" s="1"/>
      <c r="G43" s="7">
        <f t="shared" si="0"/>
        <v>0.21180555555474712</v>
      </c>
      <c r="H43" s="8">
        <f t="shared" si="1"/>
        <v>60.99999999999997</v>
      </c>
      <c r="K43" t="s">
        <v>16</v>
      </c>
    </row>
    <row r="44" ht="15.75" customHeight="1" spans="1:11" x14ac:dyDescent="0.25">
      <c r="A44" s="6">
        <v>46065</v>
      </c>
      <c r="B44" t="s">
        <v>15</v>
      </c>
      <c r="C44" s="9">
        <v>0.7118055555547471</v>
      </c>
      <c r="D44" s="9">
        <v>0.8958333333321207</v>
      </c>
      <c r="E44" s="1"/>
      <c r="F44" s="1"/>
      <c r="G44" s="7">
        <f t="shared" si="0"/>
        <v>0.18402777777737356</v>
      </c>
      <c r="H44" s="8">
        <f t="shared" si="1"/>
        <v>53</v>
      </c>
      <c r="K44" t="s">
        <v>16</v>
      </c>
    </row>
    <row r="45" ht="15.75" customHeight="1" spans="1:11" x14ac:dyDescent="0.25">
      <c r="A45" s="6">
        <v>46066</v>
      </c>
      <c r="B45" t="s">
        <v>17</v>
      </c>
      <c r="C45" s="9">
        <v>0.7118055555547471</v>
      </c>
      <c r="D45" s="9">
        <v>0.8923611111094942</v>
      </c>
      <c r="E45" s="1"/>
      <c r="F45" s="1"/>
      <c r="G45" s="7">
        <f t="shared" si="0"/>
        <v>0.18055555555474712</v>
      </c>
      <c r="H45" s="8">
        <f t="shared" si="1"/>
        <v>52.00000000000001</v>
      </c>
      <c r="K45" t="s">
        <v>16</v>
      </c>
    </row>
    <row r="46" ht="15.75" customHeight="1" spans="1:11" x14ac:dyDescent="0.25">
      <c r="A46" s="6">
        <v>46067</v>
      </c>
      <c r="B46" t="s">
        <v>18</v>
      </c>
      <c r="C46" s="9">
        <v>0.3680555555547471</v>
      </c>
      <c r="D46" s="9">
        <v>0.5</v>
      </c>
      <c r="E46" s="9">
        <v>0.5659722222226264</v>
      </c>
      <c r="F46" s="9">
        <v>0.875</v>
      </c>
      <c r="G46" s="7">
        <f t="shared" si="0"/>
        <v>0.44097222222262644</v>
      </c>
      <c r="H46" s="8">
        <f t="shared" si="1"/>
        <v>126.99999999999999</v>
      </c>
      <c r="K46" t="s">
        <v>16</v>
      </c>
    </row>
    <row r="47" ht="15.75" customHeight="1" spans="1:11" x14ac:dyDescent="0.25">
      <c r="A47" s="6">
        <v>46068</v>
      </c>
      <c r="B47" t="s">
        <v>19</v>
      </c>
      <c r="C47" s="1"/>
      <c r="D47" s="1"/>
      <c r="E47" s="1"/>
      <c r="F47" s="1"/>
      <c r="G47" s="7">
        <f t="shared" si="0"/>
        <v>0</v>
      </c>
      <c r="H47" s="8">
        <f t="shared" si="1"/>
        <v>0</v>
      </c>
      <c r="K47" t="s">
        <v>16</v>
      </c>
    </row>
    <row r="48" ht="15.75" customHeight="1" spans="1:11" x14ac:dyDescent="0.25">
      <c r="A48" s="6">
        <v>46069</v>
      </c>
      <c r="B48" t="s">
        <v>20</v>
      </c>
      <c r="C48" s="1"/>
      <c r="D48" s="1"/>
      <c r="E48" s="1"/>
      <c r="F48" s="1"/>
      <c r="G48" s="7">
        <f t="shared" si="0"/>
        <v>0</v>
      </c>
      <c r="H48" s="8">
        <f t="shared" si="1"/>
        <v>0</v>
      </c>
      <c r="K48" t="s">
        <v>16</v>
      </c>
    </row>
    <row r="49" ht="15.75" customHeight="1" spans="1:11" x14ac:dyDescent="0.25">
      <c r="A49" s="6">
        <v>46070</v>
      </c>
      <c r="B49" t="s">
        <v>21</v>
      </c>
      <c r="C49" s="1"/>
      <c r="D49" s="1"/>
      <c r="E49" s="1"/>
      <c r="F49" s="1"/>
      <c r="G49" s="7">
        <f t="shared" si="0"/>
        <v>0</v>
      </c>
      <c r="H49" s="8">
        <f t="shared" si="1"/>
        <v>0</v>
      </c>
      <c r="K49" t="s">
        <v>16</v>
      </c>
    </row>
    <row r="50" ht="15.75" customHeight="1" spans="1:11" x14ac:dyDescent="0.25">
      <c r="A50" s="6">
        <v>46071</v>
      </c>
      <c r="B50" t="s">
        <v>24</v>
      </c>
      <c r="C50" s="1"/>
      <c r="D50" s="1"/>
      <c r="E50" s="1"/>
      <c r="F50" s="1"/>
      <c r="G50" s="7">
        <f t="shared" si="0"/>
        <v>0</v>
      </c>
      <c r="H50" s="8">
        <f t="shared" si="1"/>
        <v>0</v>
      </c>
      <c r="K50" t="s">
        <v>16</v>
      </c>
    </row>
    <row r="51" ht="15.75" customHeight="1" spans="1:11" x14ac:dyDescent="0.25">
      <c r="A51" s="6">
        <v>46072</v>
      </c>
      <c r="B51" t="s">
        <v>15</v>
      </c>
      <c r="C51" s="9">
        <v>0.7083333333321207</v>
      </c>
      <c r="D51" s="9">
        <v>0.875</v>
      </c>
      <c r="E51" s="1"/>
      <c r="F51" s="1"/>
      <c r="G51" s="7">
        <f t="shared" si="0"/>
        <v>0.16666666666787933</v>
      </c>
      <c r="H51" s="8">
        <f t="shared" si="1"/>
        <v>47.999999999999986</v>
      </c>
      <c r="K51" t="s">
        <v>16</v>
      </c>
    </row>
    <row r="52" ht="15.75" customHeight="1" spans="1:11" x14ac:dyDescent="0.25">
      <c r="A52" s="6">
        <v>46073</v>
      </c>
      <c r="B52" t="s">
        <v>17</v>
      </c>
      <c r="C52" s="9">
        <v>0.7048611111094942</v>
      </c>
      <c r="D52" s="9">
        <v>0.8958333333321207</v>
      </c>
      <c r="E52" s="1"/>
      <c r="F52" s="1"/>
      <c r="G52" s="7">
        <f t="shared" si="0"/>
        <v>0.19097222222262644</v>
      </c>
      <c r="H52" s="8">
        <f t="shared" si="1"/>
        <v>55</v>
      </c>
      <c r="K52" t="s">
        <v>16</v>
      </c>
    </row>
    <row r="53" ht="15.75" customHeight="1" spans="1:11" x14ac:dyDescent="0.25">
      <c r="A53" s="6">
        <v>46074</v>
      </c>
      <c r="B53" t="s">
        <v>18</v>
      </c>
      <c r="C53" s="9">
        <v>0.36111111110949423</v>
      </c>
      <c r="D53" s="9">
        <v>0.5</v>
      </c>
      <c r="E53" s="9">
        <v>0.5694444444452529</v>
      </c>
      <c r="F53" s="9">
        <v>0.8854166666678793</v>
      </c>
      <c r="G53" s="7">
        <f t="shared" si="0"/>
        <v>0.45486111110949423</v>
      </c>
      <c r="H53" s="8">
        <f t="shared" si="1"/>
        <v>131</v>
      </c>
      <c r="K53" t="s">
        <v>16</v>
      </c>
    </row>
    <row r="54" ht="15.75" customHeight="1" spans="1:11" x14ac:dyDescent="0.25">
      <c r="A54" s="6">
        <v>46075</v>
      </c>
      <c r="B54" t="s">
        <v>19</v>
      </c>
      <c r="C54" s="1"/>
      <c r="D54" s="1"/>
      <c r="E54" s="1"/>
      <c r="F54" s="1"/>
      <c r="G54" s="7">
        <f t="shared" si="0"/>
        <v>0</v>
      </c>
      <c r="H54" s="8">
        <f t="shared" si="1"/>
        <v>0</v>
      </c>
      <c r="K54" t="s">
        <v>16</v>
      </c>
    </row>
    <row r="55" ht="15.75" customHeight="1" spans="1:11" x14ac:dyDescent="0.25">
      <c r="A55" s="6">
        <v>46076</v>
      </c>
      <c r="B55" t="s">
        <v>20</v>
      </c>
      <c r="C55" s="1"/>
      <c r="D55" s="1"/>
      <c r="E55" s="1"/>
      <c r="F55" s="1"/>
      <c r="G55" s="7">
        <f t="shared" si="0"/>
        <v>0</v>
      </c>
      <c r="H55" s="8">
        <f t="shared" si="1"/>
        <v>0</v>
      </c>
      <c r="K55" t="s">
        <v>16</v>
      </c>
    </row>
    <row r="56" ht="15.75" customHeight="1" spans="1:11" x14ac:dyDescent="0.25">
      <c r="A56" s="6">
        <v>46077</v>
      </c>
      <c r="B56" t="s">
        <v>21</v>
      </c>
      <c r="C56" s="9">
        <v>0.6770833333321207</v>
      </c>
      <c r="D56" s="9">
        <v>0.9513888888905058</v>
      </c>
      <c r="E56" s="1"/>
      <c r="F56" s="1"/>
      <c r="G56" s="7">
        <f t="shared" si="0"/>
        <v>0.2743055555547471</v>
      </c>
      <c r="H56" s="8">
        <f t="shared" si="1"/>
        <v>78.99999999999997</v>
      </c>
      <c r="K56" t="s">
        <v>16</v>
      </c>
    </row>
    <row r="57" ht="15.75" customHeight="1" spans="1:11" x14ac:dyDescent="0.25">
      <c r="A57" s="6">
        <v>46078</v>
      </c>
      <c r="B57" t="s">
        <v>24</v>
      </c>
      <c r="C57" s="9">
        <v>0.7048611111094942</v>
      </c>
      <c r="D57" s="9">
        <v>0.9375</v>
      </c>
      <c r="E57" s="1"/>
      <c r="F57" s="1"/>
      <c r="G57" s="7">
        <f t="shared" si="0"/>
        <v>0.23263888889050577</v>
      </c>
      <c r="H57" s="8">
        <f t="shared" si="1"/>
        <v>66.99999999999999</v>
      </c>
      <c r="K57" t="s">
        <v>16</v>
      </c>
    </row>
    <row r="58" ht="15.75" customHeight="1" spans="1:11" x14ac:dyDescent="0.25">
      <c r="A58" s="6">
        <v>46079</v>
      </c>
      <c r="B58" t="s">
        <v>15</v>
      </c>
      <c r="C58" s="9">
        <v>0.7118055555547471</v>
      </c>
      <c r="D58" s="9">
        <v>0.90625</v>
      </c>
      <c r="E58" s="1"/>
      <c r="F58" s="1"/>
      <c r="G58" s="7">
        <f t="shared" si="0"/>
        <v>0.19444444444525288</v>
      </c>
      <c r="H58" s="8">
        <f t="shared" si="1"/>
        <v>55.99999999999999</v>
      </c>
      <c r="K58" t="s">
        <v>16</v>
      </c>
    </row>
    <row r="59" ht="15.75" customHeight="1" spans="1:11" x14ac:dyDescent="0.25">
      <c r="A59" s="6">
        <v>46080</v>
      </c>
      <c r="B59" t="s">
        <v>17</v>
      </c>
      <c r="C59" s="9">
        <v>0.71875</v>
      </c>
      <c r="D59" s="9">
        <v>0.9555555555562023</v>
      </c>
      <c r="E59" s="1"/>
      <c r="F59" s="1"/>
      <c r="G59" s="7">
        <f t="shared" si="0"/>
        <v>0.2368055555562023</v>
      </c>
      <c r="H59" s="8">
        <f t="shared" si="1"/>
        <v>68.20000000000002</v>
      </c>
      <c r="K59" t="s">
        <v>16</v>
      </c>
    </row>
    <row r="60" ht="15.75" customHeight="1" spans="1:11" x14ac:dyDescent="0.25">
      <c r="A60" s="6">
        <v>46081</v>
      </c>
      <c r="B60" t="s">
        <v>18</v>
      </c>
      <c r="C60" s="9">
        <v>0.3680555555547471</v>
      </c>
      <c r="D60" s="9">
        <v>0.5</v>
      </c>
      <c r="E60" s="9">
        <v>0.5625</v>
      </c>
      <c r="F60" s="9">
        <v>0.9513888888905058</v>
      </c>
      <c r="G60" s="7">
        <f t="shared" si="0"/>
        <v>0.5208333333321207</v>
      </c>
      <c r="H60" s="8">
        <f t="shared" si="1"/>
        <v>149.99999999999997</v>
      </c>
      <c r="K60" t="s">
        <v>16</v>
      </c>
    </row>
    <row r="61" ht="15.75" customHeight="1" spans="1:11" x14ac:dyDescent="0.25">
      <c r="A61" s="6">
        <v>46082</v>
      </c>
      <c r="B61" t="s">
        <v>19</v>
      </c>
      <c r="C61" s="1"/>
      <c r="D61" s="1"/>
      <c r="E61" s="1"/>
      <c r="F61" s="1"/>
      <c r="G61" s="7">
        <f t="shared" si="0"/>
        <v>0</v>
      </c>
      <c r="H61" s="8">
        <f t="shared" si="1"/>
        <v>0</v>
      </c>
      <c r="K61" t="s">
        <v>16</v>
      </c>
    </row>
    <row r="62" ht="15.75" customHeight="1" spans="1:11" x14ac:dyDescent="0.25">
      <c r="A62" s="6">
        <v>46083</v>
      </c>
      <c r="B62" t="s">
        <v>20</v>
      </c>
      <c r="C62" s="1"/>
      <c r="D62" s="1"/>
      <c r="E62" s="1"/>
      <c r="F62" s="1"/>
      <c r="G62" s="7">
        <f t="shared" si="0"/>
        <v>0</v>
      </c>
      <c r="H62" s="8">
        <f t="shared" si="1"/>
        <v>0</v>
      </c>
      <c r="K62" t="s">
        <v>16</v>
      </c>
    </row>
    <row r="63" ht="15.75" customHeight="1" spans="1:11" x14ac:dyDescent="0.25">
      <c r="A63" s="6">
        <v>46084</v>
      </c>
      <c r="B63" t="s">
        <v>21</v>
      </c>
      <c r="C63" s="9"/>
      <c r="D63" s="9"/>
      <c r="E63" s="1"/>
      <c r="F63" s="1"/>
      <c r="G63" s="7">
        <f t="shared" si="0"/>
        <v>0</v>
      </c>
      <c r="H63" s="8">
        <f t="shared" si="1"/>
        <v>0</v>
      </c>
      <c r="K63" t="s">
        <v>16</v>
      </c>
    </row>
    <row r="64" ht="15.75" customHeight="1" spans="1:11" x14ac:dyDescent="0.25">
      <c r="A64" s="6">
        <v>46085</v>
      </c>
      <c r="B64" t="s">
        <v>24</v>
      </c>
      <c r="C64" s="9">
        <v>0.71875</v>
      </c>
      <c r="D64" s="9">
        <v>0.8784722222226264</v>
      </c>
      <c r="E64" s="1"/>
      <c r="F64" s="1"/>
      <c r="G64" s="7">
        <f t="shared" si="0"/>
        <v>0.15972222222262644</v>
      </c>
      <c r="H64" s="8">
        <f t="shared" si="1"/>
        <v>46</v>
      </c>
      <c r="K64" t="s">
        <v>16</v>
      </c>
    </row>
    <row r="65" ht="15.75" customHeight="1" spans="1:11" x14ac:dyDescent="0.25">
      <c r="A65" s="6">
        <v>46086</v>
      </c>
      <c r="B65" t="s">
        <v>15</v>
      </c>
      <c r="C65" s="9">
        <v>0.7152777777773736</v>
      </c>
      <c r="D65" s="9">
        <v>0.8819444444452529</v>
      </c>
      <c r="E65" s="1"/>
      <c r="F65" s="1"/>
      <c r="G65" s="7">
        <f t="shared" si="0"/>
        <v>0.16666666666787933</v>
      </c>
      <c r="H65" s="8">
        <f t="shared" si="1"/>
        <v>47.999999999999986</v>
      </c>
      <c r="K65" t="s">
        <v>16</v>
      </c>
    </row>
    <row r="66" ht="15.75" customHeight="1" spans="1:11" x14ac:dyDescent="0.25">
      <c r="A66" s="6">
        <v>46087</v>
      </c>
      <c r="B66" t="s">
        <v>17</v>
      </c>
      <c r="C66" s="9">
        <v>0.7277777777781012</v>
      </c>
      <c r="D66" s="9">
        <v>0.875</v>
      </c>
      <c r="E66" s="1"/>
      <c r="F66" s="1"/>
      <c r="G66" s="7">
        <f t="shared" ref="G66:G129" si="2">IF(AND(C66&lt;&gt;"",D66&lt;&gt;""),(D66-C66),0)+IF(AND(E66&lt;&gt;"",F66&lt;&gt;""),(F66-E66),0)</f>
        <v>0.14722222222189885</v>
      </c>
      <c r="H66" s="8">
        <f t="shared" si="1"/>
        <v>42.400000000000006</v>
      </c>
      <c r="K66" t="s">
        <v>16</v>
      </c>
    </row>
    <row r="67" ht="15.75" customHeight="1" spans="1:11" x14ac:dyDescent="0.25">
      <c r="A67" s="6">
        <v>46088</v>
      </c>
      <c r="B67" t="s">
        <v>18</v>
      </c>
      <c r="C67" s="9">
        <v>0.37847222222262644</v>
      </c>
      <c r="D67" s="9">
        <v>0.5</v>
      </c>
      <c r="E67" s="9">
        <v>0.5729166666678793</v>
      </c>
      <c r="F67" s="9">
        <v>0.9152777777781012</v>
      </c>
      <c r="G67" s="7">
        <f t="shared" si="2"/>
        <v>0.4638888888875954</v>
      </c>
      <c r="H67" s="8">
        <f t="shared" ref="H67:H130" si="3">(G67*24)*$I$2</f>
        <v>133.6</v>
      </c>
      <c r="K67" t="s">
        <v>16</v>
      </c>
    </row>
    <row r="68" ht="15.75" customHeight="1" spans="1:11" x14ac:dyDescent="0.25">
      <c r="A68" s="6">
        <v>46089</v>
      </c>
      <c r="B68" t="s">
        <v>19</v>
      </c>
      <c r="C68" s="1"/>
      <c r="D68" s="1"/>
      <c r="E68" s="1"/>
      <c r="F68" s="1"/>
      <c r="G68" s="7">
        <f t="shared" si="2"/>
        <v>0</v>
      </c>
      <c r="H68" s="8">
        <f t="shared" si="3"/>
        <v>0</v>
      </c>
      <c r="K68" t="s">
        <v>16</v>
      </c>
    </row>
    <row r="69" ht="15.75" customHeight="1" spans="1:11" x14ac:dyDescent="0.25">
      <c r="A69" s="6">
        <v>46090</v>
      </c>
      <c r="B69" t="s">
        <v>20</v>
      </c>
      <c r="C69" s="1"/>
      <c r="D69" s="1"/>
      <c r="E69" s="1"/>
      <c r="F69" s="1"/>
      <c r="G69" s="7">
        <f t="shared" si="2"/>
        <v>0</v>
      </c>
      <c r="H69" s="8">
        <f t="shared" si="3"/>
        <v>0</v>
      </c>
      <c r="K69" t="s">
        <v>16</v>
      </c>
    </row>
    <row r="70" ht="15.75" customHeight="1" spans="1:11" x14ac:dyDescent="0.25">
      <c r="A70" s="6">
        <v>46091</v>
      </c>
      <c r="B70" t="s">
        <v>21</v>
      </c>
      <c r="C70" s="9">
        <v>0.7291666666678793</v>
      </c>
      <c r="D70" s="9">
        <v>0.9375</v>
      </c>
      <c r="E70" s="1"/>
      <c r="F70" s="1"/>
      <c r="G70" s="7">
        <f t="shared" si="2"/>
        <v>0.20833333333212067</v>
      </c>
      <c r="H70" s="8">
        <f t="shared" si="3"/>
        <v>60.000000000000014</v>
      </c>
      <c r="K70" t="s">
        <v>16</v>
      </c>
    </row>
    <row r="71" ht="15.75" customHeight="1" spans="1:11" x14ac:dyDescent="0.25">
      <c r="A71" s="6">
        <v>46092</v>
      </c>
      <c r="B71" t="s">
        <v>24</v>
      </c>
      <c r="C71" s="9">
        <v>0.7291666666678793</v>
      </c>
      <c r="D71" s="9">
        <v>0.9236111111094942</v>
      </c>
      <c r="E71" s="1"/>
      <c r="F71" s="1"/>
      <c r="G71" s="7">
        <f t="shared" si="2"/>
        <v>0.19444444444525288</v>
      </c>
      <c r="H71" s="8">
        <f t="shared" si="3"/>
        <v>56.00000000000003</v>
      </c>
      <c r="K71" t="s">
        <v>16</v>
      </c>
    </row>
    <row r="72" ht="15.75" customHeight="1" spans="1:11" x14ac:dyDescent="0.25">
      <c r="A72" s="6">
        <v>46093</v>
      </c>
      <c r="B72" t="s">
        <v>15</v>
      </c>
      <c r="C72" s="9">
        <v>0.7222222222226264</v>
      </c>
      <c r="D72" s="9">
        <v>0.8784722222226264</v>
      </c>
      <c r="E72" s="1"/>
      <c r="F72" s="1"/>
      <c r="G72" s="7">
        <f t="shared" si="2"/>
        <v>0.15625</v>
      </c>
      <c r="H72" s="8">
        <f t="shared" si="3"/>
        <v>45</v>
      </c>
      <c r="K72" t="s">
        <v>16</v>
      </c>
    </row>
    <row r="73" ht="15.75" customHeight="1" spans="1:11" x14ac:dyDescent="0.25">
      <c r="A73" s="6">
        <v>46094</v>
      </c>
      <c r="B73" t="s">
        <v>17</v>
      </c>
      <c r="C73" s="9">
        <v>0.7291666666678793</v>
      </c>
      <c r="D73" s="9">
        <v>0.9166666666678793</v>
      </c>
      <c r="E73" s="1"/>
      <c r="F73" s="1"/>
      <c r="G73" s="7">
        <f t="shared" si="2"/>
        <v>0.1875</v>
      </c>
      <c r="H73" s="8">
        <f t="shared" si="3"/>
        <v>54</v>
      </c>
      <c r="K73" t="s">
        <v>16</v>
      </c>
    </row>
    <row r="74" ht="15.75" customHeight="1" spans="1:11" x14ac:dyDescent="0.25">
      <c r="A74" s="6">
        <v>46095</v>
      </c>
      <c r="B74" t="s">
        <v>18</v>
      </c>
      <c r="C74" s="9">
        <v>0.36111111110949423</v>
      </c>
      <c r="D74" s="9">
        <v>0.5034722222226264</v>
      </c>
      <c r="E74" s="9">
        <v>0.5625</v>
      </c>
      <c r="F74" s="9">
        <v>0.875</v>
      </c>
      <c r="G74" s="7">
        <f t="shared" si="2"/>
        <v>0.45486111110949423</v>
      </c>
      <c r="H74" s="8">
        <f t="shared" si="3"/>
        <v>131</v>
      </c>
      <c r="K74" t="s">
        <v>16</v>
      </c>
    </row>
    <row r="75" ht="15.75" customHeight="1" spans="1:11" x14ac:dyDescent="0.25">
      <c r="A75" s="6">
        <v>46096</v>
      </c>
      <c r="B75" t="s">
        <v>19</v>
      </c>
      <c r="C75" s="1"/>
      <c r="D75" s="1"/>
      <c r="E75" s="1"/>
      <c r="F75" s="1"/>
      <c r="G75" s="7">
        <f t="shared" si="2"/>
        <v>0</v>
      </c>
      <c r="H75" s="8">
        <f t="shared" si="3"/>
        <v>0</v>
      </c>
      <c r="K75" t="s">
        <v>16</v>
      </c>
    </row>
    <row r="76" ht="15.75" customHeight="1" spans="1:11" x14ac:dyDescent="0.25">
      <c r="A76" s="6">
        <v>46097</v>
      </c>
      <c r="B76" t="s">
        <v>20</v>
      </c>
      <c r="C76" s="9"/>
      <c r="D76" s="9"/>
      <c r="E76" s="1"/>
      <c r="F76" s="1"/>
      <c r="G76" s="7">
        <f t="shared" si="2"/>
        <v>0</v>
      </c>
      <c r="H76" s="8">
        <f t="shared" si="3"/>
        <v>0</v>
      </c>
      <c r="K76" t="s">
        <v>16</v>
      </c>
    </row>
    <row r="77" ht="15.75" customHeight="1" spans="1:11" x14ac:dyDescent="0.25">
      <c r="A77" s="6">
        <v>46098</v>
      </c>
      <c r="B77" t="s">
        <v>21</v>
      </c>
      <c r="C77" s="9">
        <v>0.7256944444452529</v>
      </c>
      <c r="D77" s="9">
        <v>0.9131944444452529</v>
      </c>
      <c r="E77" s="1"/>
      <c r="F77" s="1"/>
      <c r="G77" s="7">
        <f t="shared" si="2"/>
        <v>0.1875</v>
      </c>
      <c r="H77" s="8">
        <f t="shared" si="3"/>
        <v>54</v>
      </c>
      <c r="K77" t="s">
        <v>16</v>
      </c>
    </row>
    <row r="78" ht="15.75" customHeight="1" spans="1:11" x14ac:dyDescent="0.25">
      <c r="A78" s="6">
        <v>46099</v>
      </c>
      <c r="B78" t="s">
        <v>24</v>
      </c>
      <c r="C78" s="9">
        <v>0.71875</v>
      </c>
      <c r="D78" s="9">
        <v>0.8923611111094942</v>
      </c>
      <c r="E78" s="1"/>
      <c r="F78" s="1"/>
      <c r="G78" s="7">
        <f t="shared" si="2"/>
        <v>0.17361111110949423</v>
      </c>
      <c r="H78" s="8">
        <f t="shared" si="3"/>
        <v>50.000000000000014</v>
      </c>
      <c r="K78" t="s">
        <v>16</v>
      </c>
    </row>
    <row r="79" ht="15.75" customHeight="1" spans="1:11" x14ac:dyDescent="0.25">
      <c r="A79" s="6">
        <v>46100</v>
      </c>
      <c r="B79" t="s">
        <v>15</v>
      </c>
      <c r="C79" s="9">
        <v>0.7222222222226264</v>
      </c>
      <c r="D79" s="9">
        <v>0.8888888888905058</v>
      </c>
      <c r="E79" s="1"/>
      <c r="F79" s="1"/>
      <c r="G79" s="7">
        <f t="shared" si="2"/>
        <v>0.16666666666787933</v>
      </c>
      <c r="H79" s="8">
        <f t="shared" si="3"/>
        <v>47.999999999999986</v>
      </c>
      <c r="K79" t="s">
        <v>16</v>
      </c>
    </row>
    <row r="80" ht="15.75" customHeight="1" spans="1:11" x14ac:dyDescent="0.25">
      <c r="A80" s="6">
        <v>46101</v>
      </c>
      <c r="B80" t="s">
        <v>17</v>
      </c>
      <c r="C80" s="9">
        <v>0.7256944444452529</v>
      </c>
      <c r="D80" s="9">
        <v>0.9236111111094942</v>
      </c>
      <c r="E80" s="1"/>
      <c r="F80" s="1"/>
      <c r="G80" s="7">
        <f t="shared" si="2"/>
        <v>0.19791666666787933</v>
      </c>
      <c r="H80" s="8">
        <f t="shared" si="3"/>
        <v>57.00000000000002</v>
      </c>
      <c r="K80" t="s">
        <v>16</v>
      </c>
    </row>
    <row r="81" ht="15.75" customHeight="1" spans="1:11" x14ac:dyDescent="0.25">
      <c r="A81" s="6">
        <v>46102</v>
      </c>
      <c r="B81" t="s">
        <v>18</v>
      </c>
      <c r="C81" s="9">
        <v>0.36111111110949423</v>
      </c>
      <c r="D81" s="9">
        <v>0.5</v>
      </c>
      <c r="E81" s="9">
        <v>0.5659722222226264</v>
      </c>
      <c r="F81" s="9">
        <v>0.9166666666678793</v>
      </c>
      <c r="G81" s="7">
        <f t="shared" si="2"/>
        <v>0.4895833333321207</v>
      </c>
      <c r="H81" s="8">
        <f t="shared" si="3"/>
        <v>141</v>
      </c>
      <c r="K81" t="s">
        <v>16</v>
      </c>
    </row>
    <row r="82" ht="15.75" customHeight="1" spans="1:11" x14ac:dyDescent="0.25">
      <c r="A82" s="6">
        <v>46103</v>
      </c>
      <c r="B82" t="s">
        <v>19</v>
      </c>
      <c r="C82" s="1"/>
      <c r="D82" s="1"/>
      <c r="E82" s="1"/>
      <c r="F82" s="1"/>
      <c r="G82" s="7">
        <f t="shared" si="2"/>
        <v>0</v>
      </c>
      <c r="H82" s="8">
        <f t="shared" si="3"/>
        <v>0</v>
      </c>
      <c r="K82" t="s">
        <v>16</v>
      </c>
    </row>
    <row r="83" ht="15.75" customHeight="1" spans="1:11" x14ac:dyDescent="0.25">
      <c r="A83" s="6">
        <v>46104</v>
      </c>
      <c r="B83" t="s">
        <v>20</v>
      </c>
      <c r="C83" s="1"/>
      <c r="D83" s="1"/>
      <c r="E83" s="1"/>
      <c r="F83" s="1"/>
      <c r="G83" s="7">
        <f t="shared" si="2"/>
        <v>0</v>
      </c>
      <c r="H83" s="8">
        <f t="shared" si="3"/>
        <v>0</v>
      </c>
      <c r="K83" t="s">
        <v>16</v>
      </c>
    </row>
    <row r="84" ht="15.75" customHeight="1" spans="1:11" x14ac:dyDescent="0.25">
      <c r="A84" s="6">
        <v>46105</v>
      </c>
      <c r="B84" t="s">
        <v>21</v>
      </c>
      <c r="C84" s="9">
        <v>0.7361111111094942</v>
      </c>
      <c r="D84" s="9">
        <v>0.8854166666678793</v>
      </c>
      <c r="E84" s="1"/>
      <c r="F84" s="1"/>
      <c r="G84" s="7">
        <f t="shared" si="2"/>
        <v>0.14930555555474712</v>
      </c>
      <c r="H84" s="8">
        <f t="shared" si="3"/>
        <v>42.99999999999997</v>
      </c>
      <c r="K84" t="s">
        <v>16</v>
      </c>
    </row>
    <row r="85" ht="15.75" customHeight="1" spans="1:11" x14ac:dyDescent="0.25">
      <c r="A85" s="6">
        <v>46106</v>
      </c>
      <c r="B85" t="s">
        <v>24</v>
      </c>
      <c r="C85" s="9">
        <v>0.7291666666678793</v>
      </c>
      <c r="D85" s="9">
        <v>0.8888888888905058</v>
      </c>
      <c r="E85" s="1"/>
      <c r="F85" s="1"/>
      <c r="G85" s="7">
        <f t="shared" si="2"/>
        <v>0.15972222222262644</v>
      </c>
      <c r="H85" s="8">
        <f t="shared" si="3"/>
        <v>46</v>
      </c>
      <c r="K85" t="s">
        <v>16</v>
      </c>
    </row>
    <row r="86" ht="15.75" customHeight="1" spans="1:11" x14ac:dyDescent="0.25">
      <c r="A86" s="6">
        <v>46107</v>
      </c>
      <c r="B86" t="s">
        <v>15</v>
      </c>
      <c r="C86" s="9">
        <v>0.7201388888897782</v>
      </c>
      <c r="D86" s="9">
        <v>0.875</v>
      </c>
      <c r="E86" s="1"/>
      <c r="F86" s="1"/>
      <c r="G86" s="7">
        <f t="shared" si="2"/>
        <v>0.15486111111022183</v>
      </c>
      <c r="H86" s="8">
        <f t="shared" si="3"/>
        <v>44.6</v>
      </c>
      <c r="K86" t="s">
        <v>16</v>
      </c>
    </row>
    <row r="87" ht="15.75" customHeight="1" spans="1:11" x14ac:dyDescent="0.25">
      <c r="A87" s="6">
        <v>46108</v>
      </c>
      <c r="B87" t="s">
        <v>17</v>
      </c>
      <c r="C87" s="9">
        <v>0.7256944444452529</v>
      </c>
      <c r="D87" s="9">
        <v>0.8993055555547471</v>
      </c>
      <c r="E87" s="1"/>
      <c r="F87" s="1"/>
      <c r="G87" s="7">
        <f t="shared" si="2"/>
        <v>0.17361111110949423</v>
      </c>
      <c r="H87" s="8">
        <f t="shared" si="3"/>
        <v>50.000000000000014</v>
      </c>
      <c r="K87" t="s">
        <v>16</v>
      </c>
    </row>
    <row r="88" ht="15.75" customHeight="1" spans="1:11" x14ac:dyDescent="0.25">
      <c r="A88" s="6">
        <v>46109</v>
      </c>
      <c r="B88" t="s">
        <v>18</v>
      </c>
      <c r="C88" s="9">
        <v>0.3645833333321207</v>
      </c>
      <c r="D88" s="9">
        <v>0.5</v>
      </c>
      <c r="E88" s="9">
        <v>0.5673611111124046</v>
      </c>
      <c r="F88" s="9">
        <v>0.875</v>
      </c>
      <c r="G88" s="7">
        <f t="shared" si="2"/>
        <v>0.4430555555554747</v>
      </c>
      <c r="H88" s="8">
        <f t="shared" si="3"/>
        <v>127.60000000000002</v>
      </c>
      <c r="K88" t="s">
        <v>16</v>
      </c>
    </row>
    <row r="89" ht="15.75" customHeight="1" spans="1:11" x14ac:dyDescent="0.25">
      <c r="A89" s="6">
        <v>46110</v>
      </c>
      <c r="B89" t="s">
        <v>19</v>
      </c>
      <c r="C89" s="1"/>
      <c r="D89" s="1"/>
      <c r="E89" s="1"/>
      <c r="F89" s="1"/>
      <c r="G89" s="7">
        <f t="shared" si="2"/>
        <v>0</v>
      </c>
      <c r="H89" s="8">
        <f t="shared" si="3"/>
        <v>0</v>
      </c>
      <c r="K89" t="s">
        <v>16</v>
      </c>
    </row>
    <row r="90" ht="15.75" customHeight="1" spans="1:11" x14ac:dyDescent="0.25">
      <c r="A90" s="6">
        <v>46111</v>
      </c>
      <c r="B90" t="s">
        <v>20</v>
      </c>
      <c r="C90" s="1"/>
      <c r="D90" s="1"/>
      <c r="E90" s="1"/>
      <c r="F90" s="1"/>
      <c r="G90" s="7">
        <f t="shared" si="2"/>
        <v>0</v>
      </c>
      <c r="H90" s="8">
        <f t="shared" si="3"/>
        <v>0</v>
      </c>
      <c r="K90" t="s">
        <v>16</v>
      </c>
    </row>
    <row r="91" ht="15.75" customHeight="1" spans="1:11" x14ac:dyDescent="0.25">
      <c r="A91" s="6">
        <v>46112</v>
      </c>
      <c r="B91" t="s">
        <v>21</v>
      </c>
      <c r="C91" s="9">
        <v>0.6909722222226264</v>
      </c>
      <c r="D91" s="9">
        <v>0.9201388888905058</v>
      </c>
      <c r="E91" s="1"/>
      <c r="F91" s="1"/>
      <c r="G91" s="7">
        <f t="shared" si="2"/>
        <v>0.22916666666787933</v>
      </c>
      <c r="H91" s="8">
        <f t="shared" si="3"/>
        <v>65.99999999999999</v>
      </c>
      <c r="K91" t="s">
        <v>16</v>
      </c>
    </row>
    <row r="92" ht="15.75" customHeight="1" spans="1:11" x14ac:dyDescent="0.25">
      <c r="A92" s="6">
        <v>46113</v>
      </c>
      <c r="B92" t="s">
        <v>24</v>
      </c>
      <c r="C92" s="9">
        <v>0.7152777777773736</v>
      </c>
      <c r="D92" s="9">
        <v>0.875</v>
      </c>
      <c r="E92" s="1"/>
      <c r="F92" s="1"/>
      <c r="G92" s="7">
        <f t="shared" si="2"/>
        <v>0.15972222222262644</v>
      </c>
      <c r="H92" s="8">
        <f t="shared" si="3"/>
        <v>46</v>
      </c>
      <c r="K92" t="s">
        <v>16</v>
      </c>
    </row>
    <row r="93" ht="15.75" customHeight="1" spans="1:11" x14ac:dyDescent="0.25">
      <c r="A93" s="6">
        <v>46114</v>
      </c>
      <c r="B93" t="s">
        <v>15</v>
      </c>
      <c r="C93" s="9">
        <v>0.7201388888897782</v>
      </c>
      <c r="D93" s="9">
        <v>0.8805555555554747</v>
      </c>
      <c r="E93" s="1"/>
      <c r="F93" s="1"/>
      <c r="G93" s="7">
        <f t="shared" si="2"/>
        <v>0.16041666666569654</v>
      </c>
      <c r="H93" s="8">
        <f t="shared" si="3"/>
        <v>46.199999999999996</v>
      </c>
      <c r="K93" t="s">
        <v>16</v>
      </c>
    </row>
    <row r="94" ht="15.75" customHeight="1" spans="1:11" x14ac:dyDescent="0.25">
      <c r="A94" s="6">
        <v>46115</v>
      </c>
      <c r="B94" t="s">
        <v>17</v>
      </c>
      <c r="C94" s="9"/>
      <c r="D94" s="9"/>
      <c r="E94" s="1"/>
      <c r="F94" s="1"/>
      <c r="G94" s="7">
        <f t="shared" si="2"/>
        <v>0</v>
      </c>
      <c r="H94" s="8">
        <f t="shared" si="3"/>
        <v>0</v>
      </c>
      <c r="K94" t="s">
        <v>16</v>
      </c>
    </row>
    <row r="95" ht="15.75" customHeight="1" spans="1:11" x14ac:dyDescent="0.25">
      <c r="A95" s="6">
        <v>46116</v>
      </c>
      <c r="B95" t="s">
        <v>18</v>
      </c>
      <c r="C95" s="9"/>
      <c r="D95" s="9"/>
      <c r="E95" s="1"/>
      <c r="F95" s="1"/>
      <c r="G95" s="7">
        <f t="shared" si="2"/>
        <v>0</v>
      </c>
      <c r="H95" s="8">
        <f t="shared" si="3"/>
        <v>0</v>
      </c>
      <c r="K95" t="s">
        <v>16</v>
      </c>
    </row>
    <row r="96" ht="15.75" customHeight="1" spans="1:11" x14ac:dyDescent="0.25">
      <c r="A96" s="6">
        <v>46117</v>
      </c>
      <c r="B96" t="s">
        <v>19</v>
      </c>
      <c r="C96" s="1"/>
      <c r="D96" s="1"/>
      <c r="E96" s="1"/>
      <c r="F96" s="1"/>
      <c r="G96" s="7">
        <f t="shared" si="2"/>
        <v>0</v>
      </c>
      <c r="H96" s="8">
        <f t="shared" si="3"/>
        <v>0</v>
      </c>
      <c r="K96" t="s">
        <v>16</v>
      </c>
    </row>
    <row r="97" ht="15.75" customHeight="1" spans="1:11" x14ac:dyDescent="0.25">
      <c r="A97" s="6">
        <v>46118</v>
      </c>
      <c r="B97" t="s">
        <v>20</v>
      </c>
      <c r="C97" s="1"/>
      <c r="D97" s="1"/>
      <c r="E97" s="1"/>
      <c r="F97" s="1"/>
      <c r="G97" s="7">
        <f t="shared" si="2"/>
        <v>0</v>
      </c>
      <c r="H97" s="8">
        <f t="shared" si="3"/>
        <v>0</v>
      </c>
      <c r="K97" t="s">
        <v>16</v>
      </c>
    </row>
    <row r="98" ht="15.75" customHeight="1" spans="1:11" x14ac:dyDescent="0.25">
      <c r="A98" s="6">
        <v>46119</v>
      </c>
      <c r="B98" t="s">
        <v>21</v>
      </c>
      <c r="C98" s="9">
        <v>0.7249999999985448</v>
      </c>
      <c r="D98" s="9">
        <v>0.9027777777773736</v>
      </c>
      <c r="E98" s="1"/>
      <c r="F98" s="1"/>
      <c r="G98" s="7">
        <f t="shared" si="2"/>
        <v>0.17777777777882875</v>
      </c>
      <c r="H98" s="8">
        <f t="shared" si="3"/>
        <v>51.20000000000001</v>
      </c>
      <c r="K98" t="s">
        <v>16</v>
      </c>
    </row>
    <row r="99" ht="15.75" customHeight="1" spans="1:11" x14ac:dyDescent="0.25">
      <c r="A99" s="6">
        <v>46120</v>
      </c>
      <c r="B99" t="s">
        <v>24</v>
      </c>
      <c r="C99" s="9">
        <v>0.7138888888875954</v>
      </c>
      <c r="D99" s="9">
        <v>0.875</v>
      </c>
      <c r="E99" s="1"/>
      <c r="F99" s="1"/>
      <c r="G99" s="7">
        <f t="shared" si="2"/>
        <v>0.16111111111240461</v>
      </c>
      <c r="H99" s="8">
        <f t="shared" si="3"/>
        <v>46.39999999999999</v>
      </c>
      <c r="K99" t="s">
        <v>16</v>
      </c>
    </row>
    <row r="100" spans="1:11" x14ac:dyDescent="0.25">
      <c r="A100" s="6">
        <v>46121</v>
      </c>
      <c r="B100" t="s">
        <v>15</v>
      </c>
      <c r="C100" s="9">
        <v>0.7256944444452529</v>
      </c>
      <c r="D100" s="9">
        <v>0.9375</v>
      </c>
      <c r="E100" s="1"/>
      <c r="F100" s="1"/>
      <c r="G100" s="7">
        <f t="shared" si="2"/>
        <v>0.21180555555474712</v>
      </c>
      <c r="H100" s="8">
        <f t="shared" si="3"/>
        <v>61.00000000000001</v>
      </c>
      <c r="K100" t="s">
        <v>16</v>
      </c>
    </row>
    <row r="101" ht="15.75" customHeight="1" spans="1:11" x14ac:dyDescent="0.25">
      <c r="A101" s="6">
        <v>46122</v>
      </c>
      <c r="B101" t="s">
        <v>17</v>
      </c>
      <c r="C101" s="9">
        <v>0.7215277777795563</v>
      </c>
      <c r="D101" s="9">
        <v>0.8819444444452529</v>
      </c>
      <c r="E101" s="1"/>
      <c r="F101" s="1"/>
      <c r="G101" s="7">
        <f t="shared" si="2"/>
        <v>0.16041666666569654</v>
      </c>
      <c r="H101" s="8">
        <f t="shared" si="3"/>
        <v>46.199999999999996</v>
      </c>
      <c r="K101" t="s">
        <v>16</v>
      </c>
    </row>
    <row r="102" ht="15.75" customHeight="1" spans="1:11" x14ac:dyDescent="0.25">
      <c r="A102" s="6">
        <v>46123</v>
      </c>
      <c r="B102" t="s">
        <v>18</v>
      </c>
      <c r="C102" s="9">
        <v>0.3645833333321207</v>
      </c>
      <c r="D102" s="9">
        <v>0.5</v>
      </c>
      <c r="E102" s="9">
        <v>0.5694444444452529</v>
      </c>
      <c r="F102" s="9">
        <v>0.875</v>
      </c>
      <c r="G102" s="7">
        <f t="shared" si="2"/>
        <v>0.44097222222262644</v>
      </c>
      <c r="H102" s="8">
        <f t="shared" si="3"/>
        <v>127</v>
      </c>
      <c r="K102" t="s">
        <v>16</v>
      </c>
    </row>
    <row r="103" ht="15.75" customHeight="1" spans="1:11" x14ac:dyDescent="0.25">
      <c r="A103" s="6">
        <v>46124</v>
      </c>
      <c r="B103" t="s">
        <v>19</v>
      </c>
      <c r="C103" s="1"/>
      <c r="D103" s="1"/>
      <c r="E103" s="1"/>
      <c r="F103" s="1"/>
      <c r="G103" s="7">
        <f t="shared" si="2"/>
        <v>0</v>
      </c>
      <c r="H103" s="8">
        <f t="shared" si="3"/>
        <v>0</v>
      </c>
      <c r="K103" t="s">
        <v>16</v>
      </c>
    </row>
    <row r="104" ht="15.75" customHeight="1" spans="1:11" x14ac:dyDescent="0.25">
      <c r="A104" s="6">
        <v>46125</v>
      </c>
      <c r="B104" t="s">
        <v>20</v>
      </c>
      <c r="C104" s="1"/>
      <c r="D104" s="1"/>
      <c r="E104" s="1"/>
      <c r="F104" s="1"/>
      <c r="G104" s="7">
        <f t="shared" si="2"/>
        <v>0</v>
      </c>
      <c r="H104" s="8">
        <f t="shared" si="3"/>
        <v>0</v>
      </c>
      <c r="K104" t="s">
        <v>16</v>
      </c>
    </row>
    <row r="105" ht="15.75" customHeight="1" spans="1:11" x14ac:dyDescent="0.25">
      <c r="A105" s="6">
        <v>46126</v>
      </c>
      <c r="B105" t="s">
        <v>21</v>
      </c>
      <c r="C105" s="9">
        <v>0.7083333333321207</v>
      </c>
      <c r="D105" s="9">
        <v>0.9513888888905058</v>
      </c>
      <c r="E105" s="1"/>
      <c r="F105" s="1"/>
      <c r="G105" s="7">
        <f t="shared" si="2"/>
        <v>0.24305555555474712</v>
      </c>
      <c r="H105" s="8">
        <f t="shared" si="3"/>
        <v>69.99999999999997</v>
      </c>
      <c r="K105" t="s">
        <v>16</v>
      </c>
    </row>
    <row r="106" ht="15.75" customHeight="1" spans="1:11" x14ac:dyDescent="0.25">
      <c r="A106" s="6">
        <v>46127</v>
      </c>
      <c r="B106" t="s">
        <v>24</v>
      </c>
      <c r="C106" s="9">
        <v>0.7256944444452529</v>
      </c>
      <c r="D106" s="9">
        <v>0.875</v>
      </c>
      <c r="E106" s="1"/>
      <c r="F106" s="1"/>
      <c r="G106" s="7">
        <f t="shared" si="2"/>
        <v>0.14930555555474712</v>
      </c>
      <c r="H106" s="8">
        <f t="shared" si="3"/>
        <v>43.00000000000001</v>
      </c>
      <c r="K106" t="s">
        <v>16</v>
      </c>
    </row>
    <row r="107" ht="15.75" customHeight="1" spans="1:11" x14ac:dyDescent="0.25">
      <c r="A107" s="6">
        <v>46128</v>
      </c>
      <c r="B107" t="s">
        <v>15</v>
      </c>
      <c r="C107" s="9">
        <v>0.7222222222226264</v>
      </c>
      <c r="D107" s="9">
        <v>0.875</v>
      </c>
      <c r="E107" s="9"/>
      <c r="F107" s="9"/>
      <c r="G107" s="7">
        <f t="shared" si="2"/>
        <v>0.15277777777737356</v>
      </c>
      <c r="H107" s="8">
        <f t="shared" si="3"/>
        <v>44</v>
      </c>
      <c r="K107" t="s">
        <v>16</v>
      </c>
    </row>
    <row r="108" ht="15.75" customHeight="1" spans="1:11" x14ac:dyDescent="0.25">
      <c r="A108" s="6">
        <v>46129</v>
      </c>
      <c r="B108" t="s">
        <v>17</v>
      </c>
      <c r="C108" s="9">
        <v>0.7326388888905058</v>
      </c>
      <c r="D108" s="9">
        <v>0.8854166666678793</v>
      </c>
      <c r="E108" s="1"/>
      <c r="F108" s="1"/>
      <c r="G108" s="7">
        <f t="shared" si="2"/>
        <v>0.15277777777737356</v>
      </c>
      <c r="H108" s="8">
        <f t="shared" si="3"/>
        <v>44</v>
      </c>
      <c r="K108" t="s">
        <v>16</v>
      </c>
    </row>
    <row r="109" ht="15.75" customHeight="1" spans="1:11" x14ac:dyDescent="0.25">
      <c r="A109" s="6">
        <v>46130</v>
      </c>
      <c r="B109" t="s">
        <v>18</v>
      </c>
      <c r="C109" s="9">
        <v>0.3680555555547471</v>
      </c>
      <c r="D109" s="9">
        <v>0.5</v>
      </c>
      <c r="E109" s="9">
        <v>0.5694444444452529</v>
      </c>
      <c r="F109" s="9">
        <v>0.875</v>
      </c>
      <c r="G109" s="7">
        <f t="shared" si="2"/>
        <v>0.4375</v>
      </c>
      <c r="H109" s="8">
        <f t="shared" si="3"/>
        <v>126</v>
      </c>
      <c r="K109" t="s">
        <v>16</v>
      </c>
    </row>
    <row r="110" ht="15.75" customHeight="1" spans="1:11" x14ac:dyDescent="0.25">
      <c r="A110" s="6">
        <v>46131</v>
      </c>
      <c r="B110" t="s">
        <v>19</v>
      </c>
      <c r="C110" s="1"/>
      <c r="D110" s="1"/>
      <c r="E110" s="1"/>
      <c r="F110" s="1"/>
      <c r="G110" s="7">
        <f t="shared" si="2"/>
        <v>0</v>
      </c>
      <c r="H110" s="8">
        <f t="shared" si="3"/>
        <v>0</v>
      </c>
      <c r="K110" t="s">
        <v>16</v>
      </c>
    </row>
    <row r="111" ht="15.75" customHeight="1" spans="1:11" x14ac:dyDescent="0.25">
      <c r="A111" s="6">
        <v>46132</v>
      </c>
      <c r="B111" t="s">
        <v>20</v>
      </c>
      <c r="C111" s="1"/>
      <c r="D111" s="1"/>
      <c r="E111" s="1"/>
      <c r="F111" s="1"/>
      <c r="G111" s="7">
        <f t="shared" si="2"/>
        <v>0</v>
      </c>
      <c r="H111" s="8">
        <f t="shared" si="3"/>
        <v>0</v>
      </c>
      <c r="K111" t="s">
        <v>16</v>
      </c>
    </row>
    <row r="112" ht="15.75" customHeight="1" spans="1:11" x14ac:dyDescent="0.25">
      <c r="A112" s="6">
        <v>46133</v>
      </c>
      <c r="B112" t="s">
        <v>21</v>
      </c>
      <c r="C112" s="1"/>
      <c r="D112" s="1"/>
      <c r="E112" s="1"/>
      <c r="F112" s="1"/>
      <c r="G112" s="7">
        <f t="shared" si="2"/>
        <v>0</v>
      </c>
      <c r="H112" s="8">
        <f t="shared" si="3"/>
        <v>0</v>
      </c>
      <c r="K112" t="s">
        <v>16</v>
      </c>
    </row>
    <row r="113" ht="15.75" customHeight="1" spans="1:11" x14ac:dyDescent="0.25">
      <c r="A113" s="6">
        <v>46134</v>
      </c>
      <c r="B113" t="s">
        <v>24</v>
      </c>
      <c r="C113" s="9">
        <v>0.7256944444452529</v>
      </c>
      <c r="D113" s="9">
        <v>0.90625</v>
      </c>
      <c r="E113" s="1"/>
      <c r="F113" s="1"/>
      <c r="G113" s="7">
        <f t="shared" si="2"/>
        <v>0.18055555555474712</v>
      </c>
      <c r="H113" s="8">
        <f t="shared" si="3"/>
        <v>52.00000000000001</v>
      </c>
      <c r="K113" t="s">
        <v>16</v>
      </c>
    </row>
    <row r="114" ht="15.75" customHeight="1" spans="1:11" x14ac:dyDescent="0.25">
      <c r="A114" s="6">
        <v>46135</v>
      </c>
      <c r="B114" t="s">
        <v>15</v>
      </c>
      <c r="C114" s="9">
        <v>0.7291666666678793</v>
      </c>
      <c r="D114" s="9">
        <v>0.8833333333350311</v>
      </c>
      <c r="E114" s="1"/>
      <c r="F114" s="1"/>
      <c r="G114" s="7">
        <f t="shared" si="2"/>
        <v>0.15416666666715173</v>
      </c>
      <c r="H114" s="8">
        <f t="shared" si="3"/>
        <v>44.400000000000006</v>
      </c>
      <c r="K114" t="s">
        <v>16</v>
      </c>
    </row>
    <row r="115" ht="15.75" customHeight="1" spans="1:11" x14ac:dyDescent="0.25">
      <c r="A115" s="6">
        <v>46136</v>
      </c>
      <c r="B115" t="s">
        <v>17</v>
      </c>
      <c r="C115" s="9">
        <v>0.7326388888905058</v>
      </c>
      <c r="D115" s="9">
        <v>0.9236111111094942</v>
      </c>
      <c r="E115" s="1"/>
      <c r="F115" s="1"/>
      <c r="G115" s="7">
        <f t="shared" si="2"/>
        <v>0.19097222222262644</v>
      </c>
      <c r="H115" s="8">
        <f t="shared" si="3"/>
        <v>55.00000000000003</v>
      </c>
      <c r="K115" t="s">
        <v>16</v>
      </c>
    </row>
    <row r="116" ht="15.75" customHeight="1" spans="1:11" x14ac:dyDescent="0.25">
      <c r="A116" s="6">
        <v>46137</v>
      </c>
      <c r="B116" t="s">
        <v>18</v>
      </c>
      <c r="C116" s="9">
        <v>0.3680555555547471</v>
      </c>
      <c r="D116" s="9">
        <v>0.5</v>
      </c>
      <c r="E116" s="9">
        <v>0.5694444444452529</v>
      </c>
      <c r="F116" s="9">
        <v>0.875</v>
      </c>
      <c r="G116" s="7">
        <f t="shared" si="2"/>
        <v>0.4375</v>
      </c>
      <c r="H116" s="8">
        <f t="shared" si="3"/>
        <v>126</v>
      </c>
      <c r="K116" t="s">
        <v>16</v>
      </c>
    </row>
    <row r="117" ht="15.75" customHeight="1" spans="1:11" x14ac:dyDescent="0.25">
      <c r="A117" s="6">
        <v>46138</v>
      </c>
      <c r="B117" t="s">
        <v>19</v>
      </c>
      <c r="C117" s="1"/>
      <c r="D117" s="1"/>
      <c r="E117" s="1"/>
      <c r="F117" s="1"/>
      <c r="G117" s="7">
        <f t="shared" si="2"/>
        <v>0</v>
      </c>
      <c r="H117" s="8">
        <f t="shared" si="3"/>
        <v>0</v>
      </c>
      <c r="K117" t="s">
        <v>16</v>
      </c>
    </row>
    <row r="118" ht="15.75" customHeight="1" spans="1:11" x14ac:dyDescent="0.25">
      <c r="A118" s="6">
        <v>46139</v>
      </c>
      <c r="B118" t="s">
        <v>20</v>
      </c>
      <c r="C118" s="1"/>
      <c r="D118" s="1"/>
      <c r="E118" s="1"/>
      <c r="F118" s="1"/>
      <c r="G118" s="7">
        <f t="shared" si="2"/>
        <v>0</v>
      </c>
      <c r="H118" s="8">
        <f t="shared" si="3"/>
        <v>0</v>
      </c>
      <c r="K118" t="s">
        <v>16</v>
      </c>
    </row>
    <row r="119" ht="15.75" customHeight="1" spans="1:11" x14ac:dyDescent="0.25">
      <c r="A119" s="6">
        <v>46140</v>
      </c>
      <c r="B119" t="s">
        <v>21</v>
      </c>
      <c r="C119" s="9">
        <v>0.7013888888905058</v>
      </c>
      <c r="D119" s="9">
        <v>0.9263888888890506</v>
      </c>
      <c r="E119" s="1"/>
      <c r="F119" s="1"/>
      <c r="G119" s="7">
        <f t="shared" si="2"/>
        <v>0.2249999999985448</v>
      </c>
      <c r="H119" s="8">
        <f t="shared" si="3"/>
        <v>64.80000000000003</v>
      </c>
      <c r="K119" t="s">
        <v>16</v>
      </c>
    </row>
    <row r="120" ht="15.75" customHeight="1" spans="1:11" x14ac:dyDescent="0.25">
      <c r="A120" s="6">
        <v>46141</v>
      </c>
      <c r="B120" t="s">
        <v>24</v>
      </c>
      <c r="C120" s="9">
        <v>0.7048611111094942</v>
      </c>
      <c r="D120" s="9">
        <v>0.875</v>
      </c>
      <c r="E120" s="12"/>
      <c r="F120" s="1"/>
      <c r="G120" s="7">
        <f t="shared" si="2"/>
        <v>0.17013888889050577</v>
      </c>
      <c r="H120" s="8">
        <f t="shared" si="3"/>
        <v>48.999999999999986</v>
      </c>
      <c r="K120" t="s">
        <v>16</v>
      </c>
    </row>
    <row r="121" ht="15.75" customHeight="1" spans="1:11" x14ac:dyDescent="0.25">
      <c r="A121" s="6">
        <v>46142</v>
      </c>
      <c r="B121" t="s">
        <v>15</v>
      </c>
      <c r="C121" s="9">
        <v>0.7291666666678793</v>
      </c>
      <c r="D121" s="9">
        <v>0.9076388888897782</v>
      </c>
      <c r="E121" s="13"/>
      <c r="F121" s="1"/>
      <c r="G121" s="7">
        <f t="shared" si="2"/>
        <v>0.17847222222189885</v>
      </c>
      <c r="H121" s="8">
        <f t="shared" si="3"/>
        <v>51.400000000000006</v>
      </c>
      <c r="K121" t="s">
        <v>16</v>
      </c>
    </row>
    <row r="122" ht="15.75" customHeight="1" spans="1:11" x14ac:dyDescent="0.25">
      <c r="A122" s="6">
        <v>46143</v>
      </c>
      <c r="B122" t="s">
        <v>17</v>
      </c>
      <c r="C122" s="1"/>
      <c r="D122" s="1"/>
      <c r="E122" s="1"/>
      <c r="F122" s="1"/>
      <c r="G122" s="7">
        <f t="shared" si="2"/>
        <v>0</v>
      </c>
      <c r="H122" s="8">
        <f t="shared" si="3"/>
        <v>0</v>
      </c>
      <c r="K122" t="s">
        <v>16</v>
      </c>
    </row>
    <row r="123" ht="15.75" customHeight="1" spans="1:11" x14ac:dyDescent="0.25">
      <c r="A123" s="6">
        <v>46144</v>
      </c>
      <c r="B123" t="s">
        <v>18</v>
      </c>
      <c r="C123" s="9">
        <v>0.3645833333321207</v>
      </c>
      <c r="D123" s="9">
        <v>0.6111111111094942</v>
      </c>
      <c r="E123" s="9">
        <v>0.6458333333321207</v>
      </c>
      <c r="F123" s="9">
        <v>0.734027777776646</v>
      </c>
      <c r="G123" s="7">
        <f t="shared" si="2"/>
        <v>0.33472222222189885</v>
      </c>
      <c r="H123" s="8">
        <f t="shared" si="3"/>
        <v>96.4</v>
      </c>
      <c r="K123" t="s">
        <v>16</v>
      </c>
    </row>
    <row r="124" ht="15.75" customHeight="1" spans="1:11" x14ac:dyDescent="0.25">
      <c r="A124" s="6">
        <v>46145</v>
      </c>
      <c r="B124" t="s">
        <v>19</v>
      </c>
      <c r="C124" s="1"/>
      <c r="D124" s="1"/>
      <c r="E124" s="1"/>
      <c r="F124" s="1"/>
      <c r="G124" s="7">
        <f t="shared" si="2"/>
        <v>0</v>
      </c>
      <c r="H124" s="8">
        <f t="shared" si="3"/>
        <v>0</v>
      </c>
      <c r="K124" t="s">
        <v>16</v>
      </c>
    </row>
    <row r="125" ht="15.75" customHeight="1" spans="1:11" x14ac:dyDescent="0.25">
      <c r="A125" s="6">
        <v>46146</v>
      </c>
      <c r="B125" t="s">
        <v>20</v>
      </c>
      <c r="C125" s="1"/>
      <c r="D125" s="1"/>
      <c r="E125" s="1"/>
      <c r="F125" s="1"/>
      <c r="G125" s="7">
        <f t="shared" si="2"/>
        <v>0</v>
      </c>
      <c r="H125" s="8">
        <f t="shared" si="3"/>
        <v>0</v>
      </c>
      <c r="K125" t="s">
        <v>16</v>
      </c>
    </row>
    <row r="126" ht="15.75" customHeight="1" spans="1:11" x14ac:dyDescent="0.25">
      <c r="A126" s="6">
        <v>46147</v>
      </c>
      <c r="B126" t="s">
        <v>21</v>
      </c>
      <c r="C126" s="9">
        <v>0.7430555555547471</v>
      </c>
      <c r="D126" s="9">
        <v>0.8784722222226264</v>
      </c>
      <c r="E126" s="1"/>
      <c r="F126" s="1"/>
      <c r="G126" s="7">
        <f t="shared" si="2"/>
        <v>0.13541666666787933</v>
      </c>
      <c r="H126" s="8">
        <f t="shared" si="3"/>
        <v>38.999999999999986</v>
      </c>
      <c r="K126" t="s">
        <v>16</v>
      </c>
    </row>
    <row r="127" ht="15.75" customHeight="1" spans="1:11" x14ac:dyDescent="0.25">
      <c r="A127" s="6">
        <v>46148</v>
      </c>
      <c r="B127" t="s">
        <v>24</v>
      </c>
      <c r="C127" s="9">
        <v>0.7465277777773736</v>
      </c>
      <c r="D127" s="9">
        <v>0.875</v>
      </c>
      <c r="E127" s="1"/>
      <c r="F127" s="1"/>
      <c r="G127" s="7">
        <f t="shared" si="2"/>
        <v>0.12847222222262644</v>
      </c>
      <c r="H127" s="8">
        <f t="shared" si="3"/>
        <v>37</v>
      </c>
      <c r="K127" t="s">
        <v>16</v>
      </c>
    </row>
    <row r="128" ht="15.75" customHeight="1" spans="1:11" x14ac:dyDescent="0.25">
      <c r="A128" s="6">
        <v>46149</v>
      </c>
      <c r="B128" t="s">
        <v>15</v>
      </c>
      <c r="C128" s="9">
        <v>0.7395833333321207</v>
      </c>
      <c r="D128" s="9">
        <v>0.875</v>
      </c>
      <c r="E128" s="1"/>
      <c r="F128" s="1"/>
      <c r="G128" s="7">
        <f t="shared" si="2"/>
        <v>0.13541666666787933</v>
      </c>
      <c r="H128" s="8">
        <f t="shared" si="3"/>
        <v>38.999999999999986</v>
      </c>
      <c r="K128" t="s">
        <v>16</v>
      </c>
    </row>
    <row r="129" ht="15.75" customHeight="1" spans="1:11" x14ac:dyDescent="0.25">
      <c r="A129" s="6">
        <v>46150</v>
      </c>
      <c r="B129" t="s">
        <v>17</v>
      </c>
      <c r="C129" s="1"/>
      <c r="D129" s="1"/>
      <c r="E129" s="1"/>
      <c r="F129" s="1"/>
      <c r="G129" s="7">
        <f t="shared" si="2"/>
        <v>0</v>
      </c>
      <c r="H129" s="8">
        <f t="shared" si="3"/>
        <v>0</v>
      </c>
      <c r="K129" t="s">
        <v>16</v>
      </c>
    </row>
    <row r="130" ht="15.75" customHeight="1" spans="1:11" x14ac:dyDescent="0.25">
      <c r="A130" s="6">
        <v>46151</v>
      </c>
      <c r="B130" t="s">
        <v>18</v>
      </c>
      <c r="C130" s="1"/>
      <c r="D130" s="1"/>
      <c r="E130" s="1"/>
      <c r="F130" s="1"/>
      <c r="G130" s="7">
        <f t="shared" ref="G130:G193" si="4">IF(AND(C130&lt;&gt;"",D130&lt;&gt;""),(D130-C130),0)+IF(AND(E130&lt;&gt;"",F130&lt;&gt;""),(F130-E130),0)</f>
        <v>0</v>
      </c>
      <c r="H130" s="8">
        <f t="shared" si="3"/>
        <v>0</v>
      </c>
      <c r="K130" t="s">
        <v>16</v>
      </c>
    </row>
    <row r="131" ht="15.75" customHeight="1" spans="1:11" x14ac:dyDescent="0.25">
      <c r="A131" s="6">
        <v>46152</v>
      </c>
      <c r="B131" t="s">
        <v>19</v>
      </c>
      <c r="C131" s="1"/>
      <c r="D131" s="1"/>
      <c r="E131" s="1"/>
      <c r="F131" s="1"/>
      <c r="G131" s="7">
        <f t="shared" si="4"/>
        <v>0</v>
      </c>
      <c r="H131" s="8">
        <f t="shared" ref="H131:H194" si="5">(G131*24)*$I$2</f>
        <v>0</v>
      </c>
      <c r="K131" t="s">
        <v>16</v>
      </c>
    </row>
    <row r="132" ht="15.75" customHeight="1" spans="1:11" x14ac:dyDescent="0.25">
      <c r="A132" s="6">
        <v>46153</v>
      </c>
      <c r="B132" t="s">
        <v>20</v>
      </c>
      <c r="C132" s="1"/>
      <c r="D132" s="1"/>
      <c r="E132" s="1"/>
      <c r="F132" s="1"/>
      <c r="G132" s="7">
        <f t="shared" si="4"/>
        <v>0</v>
      </c>
      <c r="H132" s="8">
        <f t="shared" si="5"/>
        <v>0</v>
      </c>
      <c r="K132" t="s">
        <v>16</v>
      </c>
    </row>
    <row r="133" ht="15.75" customHeight="1" spans="1:11" x14ac:dyDescent="0.25">
      <c r="A133" s="6">
        <v>46154</v>
      </c>
      <c r="B133" t="s">
        <v>21</v>
      </c>
      <c r="C133" s="9">
        <v>0.7256944444452529</v>
      </c>
      <c r="D133" s="9">
        <v>0.9583333333321207</v>
      </c>
      <c r="E133" s="1"/>
      <c r="F133" s="1"/>
      <c r="G133" s="7">
        <f t="shared" si="4"/>
        <v>0.23263888889050577</v>
      </c>
      <c r="H133" s="8">
        <f t="shared" si="5"/>
        <v>67.00000000000001</v>
      </c>
      <c r="K133" t="s">
        <v>16</v>
      </c>
    </row>
    <row r="134" ht="15.75" customHeight="1" spans="1:11" x14ac:dyDescent="0.25">
      <c r="A134" s="6">
        <v>46155</v>
      </c>
      <c r="B134" t="s">
        <v>24</v>
      </c>
      <c r="C134" s="9">
        <v>0.7256944444452529</v>
      </c>
      <c r="D134" s="9">
        <v>0.8819444444452529</v>
      </c>
      <c r="E134" s="1"/>
      <c r="F134" s="1"/>
      <c r="G134" s="7">
        <f t="shared" si="4"/>
        <v>0.15625</v>
      </c>
      <c r="H134" s="8">
        <f t="shared" si="5"/>
        <v>45</v>
      </c>
      <c r="K134" t="s">
        <v>16</v>
      </c>
    </row>
    <row r="135" ht="15.75" customHeight="1" spans="1:11" x14ac:dyDescent="0.25">
      <c r="A135" s="6">
        <v>46156</v>
      </c>
      <c r="B135" t="s">
        <v>15</v>
      </c>
      <c r="C135" s="9">
        <v>0.7291666666678793</v>
      </c>
      <c r="D135" s="9">
        <v>0.875</v>
      </c>
      <c r="E135" s="1"/>
      <c r="F135" s="1"/>
      <c r="G135" s="7">
        <f t="shared" si="4"/>
        <v>0.14583333333212067</v>
      </c>
      <c r="H135" s="8">
        <f t="shared" si="5"/>
        <v>42.000000000000014</v>
      </c>
      <c r="K135" t="s">
        <v>16</v>
      </c>
    </row>
    <row r="136" ht="15.75" customHeight="1" spans="1:11" x14ac:dyDescent="0.25">
      <c r="A136" s="6">
        <v>46157</v>
      </c>
      <c r="B136" t="s">
        <v>17</v>
      </c>
      <c r="C136" s="9">
        <v>0.7222222222226264</v>
      </c>
      <c r="D136" s="9">
        <v>0.8819444444452529</v>
      </c>
      <c r="E136" s="1"/>
      <c r="F136" s="1"/>
      <c r="G136" s="7">
        <f t="shared" si="4"/>
        <v>0.15972222222262644</v>
      </c>
      <c r="H136" s="8">
        <f t="shared" si="5"/>
        <v>46</v>
      </c>
      <c r="K136" t="s">
        <v>16</v>
      </c>
    </row>
    <row r="137" ht="15.75" customHeight="1" spans="1:11" x14ac:dyDescent="0.25">
      <c r="A137" s="6">
        <v>46158</v>
      </c>
      <c r="B137" t="s">
        <v>18</v>
      </c>
      <c r="C137" s="9">
        <v>0.5729166666678793</v>
      </c>
      <c r="D137" s="9">
        <v>0.8854166666678793</v>
      </c>
      <c r="E137" s="1"/>
      <c r="F137" s="1"/>
      <c r="G137" s="7">
        <f t="shared" si="4"/>
        <v>0.3125</v>
      </c>
      <c r="H137" s="8">
        <f t="shared" si="5"/>
        <v>90</v>
      </c>
      <c r="K137" t="s">
        <v>16</v>
      </c>
    </row>
    <row r="138" ht="15.75" customHeight="1" spans="1:11" x14ac:dyDescent="0.25">
      <c r="A138" s="6">
        <v>46159</v>
      </c>
      <c r="B138" t="s">
        <v>19</v>
      </c>
      <c r="C138" s="1"/>
      <c r="D138" s="1"/>
      <c r="E138" s="1"/>
      <c r="F138" s="1"/>
      <c r="G138" s="7">
        <f t="shared" si="4"/>
        <v>0</v>
      </c>
      <c r="H138" s="8">
        <f t="shared" si="5"/>
        <v>0</v>
      </c>
      <c r="K138" t="s">
        <v>16</v>
      </c>
    </row>
    <row r="139" ht="15.75" customHeight="1" spans="1:11" x14ac:dyDescent="0.25">
      <c r="A139" s="6">
        <v>46160</v>
      </c>
      <c r="B139" t="s">
        <v>20</v>
      </c>
      <c r="C139" s="1"/>
      <c r="D139" s="1"/>
      <c r="E139" s="1"/>
      <c r="F139" s="1"/>
      <c r="G139" s="7">
        <f t="shared" si="4"/>
        <v>0</v>
      </c>
      <c r="H139" s="8">
        <f t="shared" si="5"/>
        <v>0</v>
      </c>
      <c r="K139" t="s">
        <v>16</v>
      </c>
    </row>
    <row r="140" ht="15.75" customHeight="1" spans="1:11" x14ac:dyDescent="0.25">
      <c r="A140" s="6">
        <v>46161</v>
      </c>
      <c r="B140" t="s">
        <v>21</v>
      </c>
      <c r="C140" s="9">
        <v>0.7361111111094942</v>
      </c>
      <c r="D140" s="9">
        <v>0.875</v>
      </c>
      <c r="E140" s="1"/>
      <c r="F140" s="1"/>
      <c r="G140" s="7">
        <f t="shared" si="4"/>
        <v>0.13888888889050577</v>
      </c>
      <c r="H140" s="8">
        <f t="shared" si="5"/>
        <v>39.999999999999986</v>
      </c>
      <c r="K140" t="s">
        <v>16</v>
      </c>
    </row>
    <row r="141" ht="15.75" customHeight="1" spans="1:11" x14ac:dyDescent="0.25">
      <c r="A141" s="6">
        <v>46162</v>
      </c>
      <c r="B141" t="s">
        <v>24</v>
      </c>
      <c r="C141" s="9">
        <v>0.7118055555547471</v>
      </c>
      <c r="D141" s="9">
        <v>0.9166666666678793</v>
      </c>
      <c r="E141" s="1"/>
      <c r="F141" s="1"/>
      <c r="G141" s="7">
        <f t="shared" si="4"/>
        <v>0.20486111110949423</v>
      </c>
      <c r="H141" s="8">
        <f t="shared" si="5"/>
        <v>58.999999999999986</v>
      </c>
      <c r="K141" t="s">
        <v>16</v>
      </c>
    </row>
    <row r="142" ht="15.75" customHeight="1" spans="1:11" x14ac:dyDescent="0.25">
      <c r="A142" s="6">
        <v>46163</v>
      </c>
      <c r="B142" t="s">
        <v>15</v>
      </c>
      <c r="C142" s="9">
        <v>0.7152777777773736</v>
      </c>
      <c r="D142" s="9">
        <v>0.875</v>
      </c>
      <c r="E142" s="1"/>
      <c r="F142" s="1"/>
      <c r="G142" s="7">
        <f t="shared" si="4"/>
        <v>0.15972222222262644</v>
      </c>
      <c r="H142" s="8">
        <f t="shared" si="5"/>
        <v>46</v>
      </c>
      <c r="J142" t="s">
        <v>44</v>
      </c>
      <c r="K142" t="s">
        <v>16</v>
      </c>
    </row>
    <row r="143" ht="15.75" customHeight="1" spans="1:11" x14ac:dyDescent="0.25">
      <c r="A143" s="6">
        <v>46164</v>
      </c>
      <c r="B143" t="s">
        <v>17</v>
      </c>
      <c r="C143" s="9">
        <v>0.7152777777773736</v>
      </c>
      <c r="D143" s="9">
        <v>0.9027777777773736</v>
      </c>
      <c r="E143" s="1"/>
      <c r="F143" s="1"/>
      <c r="G143" s="7">
        <f t="shared" si="4"/>
        <v>0.1875</v>
      </c>
      <c r="H143" s="8">
        <f t="shared" si="5"/>
        <v>54</v>
      </c>
      <c r="K143" t="s">
        <v>16</v>
      </c>
    </row>
    <row r="144" ht="15.75" customHeight="1" spans="1:11" x14ac:dyDescent="0.25">
      <c r="A144" s="6">
        <v>46165</v>
      </c>
      <c r="B144" t="s">
        <v>18</v>
      </c>
      <c r="C144" s="9">
        <v>0.35972222222335404</v>
      </c>
      <c r="D144" s="9">
        <v>0.5069444444452529</v>
      </c>
      <c r="E144" s="9">
        <v>0.5694444444452529</v>
      </c>
      <c r="F144" s="9">
        <v>0.875</v>
      </c>
      <c r="G144" s="7">
        <f t="shared" si="4"/>
        <v>0.45277777777664596</v>
      </c>
      <c r="H144" s="8">
        <f t="shared" si="5"/>
        <v>130.4</v>
      </c>
      <c r="K144" t="s">
        <v>16</v>
      </c>
    </row>
    <row r="145" ht="15.75" customHeight="1" spans="1:8" x14ac:dyDescent="0.25">
      <c r="A145" s="6">
        <v>46166</v>
      </c>
      <c r="B145" t="s">
        <v>19</v>
      </c>
      <c r="G145" s="7">
        <f t="shared" si="4"/>
        <v>0</v>
      </c>
      <c r="H145" s="8">
        <f t="shared" si="5"/>
        <v>0</v>
      </c>
    </row>
    <row r="146" ht="15.75" customHeight="1" spans="1:8" x14ac:dyDescent="0.25">
      <c r="A146" s="6">
        <v>46167</v>
      </c>
      <c r="B146" t="s">
        <v>20</v>
      </c>
      <c r="G146" s="7">
        <f t="shared" si="4"/>
        <v>0</v>
      </c>
      <c r="H146" s="8">
        <f t="shared" si="5"/>
        <v>0</v>
      </c>
    </row>
    <row r="147" ht="15.75" customHeight="1" spans="1:8" x14ac:dyDescent="0.25">
      <c r="A147" s="6">
        <v>46168</v>
      </c>
      <c r="B147" t="s">
        <v>21</v>
      </c>
      <c r="C147" s="9">
        <v>0.7118055555547471</v>
      </c>
      <c r="D147" s="9">
        <v>0.9166666666678793</v>
      </c>
      <c r="G147" s="7">
        <f t="shared" si="4"/>
        <v>0.20486111110949423</v>
      </c>
      <c r="H147" s="8">
        <f t="shared" si="5"/>
        <v>58.999999999999986</v>
      </c>
    </row>
    <row r="148" ht="15.75" customHeight="1" spans="1:8" x14ac:dyDescent="0.25">
      <c r="A148" s="6">
        <v>46169</v>
      </c>
      <c r="B148" t="s">
        <v>24</v>
      </c>
      <c r="C148" s="9">
        <v>0.7152777777773736</v>
      </c>
      <c r="D148" s="9">
        <v>0.875</v>
      </c>
      <c r="G148" s="7">
        <f t="shared" si="4"/>
        <v>0.15972222222262644</v>
      </c>
      <c r="H148" s="8">
        <f t="shared" si="5"/>
        <v>46</v>
      </c>
    </row>
    <row r="149" ht="15.75" customHeight="1" spans="1:8" x14ac:dyDescent="0.25">
      <c r="A149" s="6">
        <v>46170</v>
      </c>
      <c r="B149" t="s">
        <v>15</v>
      </c>
      <c r="C149" s="9">
        <v>0.7222222222226264</v>
      </c>
      <c r="D149" s="9">
        <v>0.875</v>
      </c>
      <c r="G149" s="7">
        <f t="shared" si="4"/>
        <v>0.15277777777737356</v>
      </c>
      <c r="H149" s="8">
        <f t="shared" si="5"/>
        <v>44</v>
      </c>
    </row>
    <row r="150" ht="15.75" customHeight="1" spans="1:8" x14ac:dyDescent="0.25">
      <c r="A150" s="6">
        <v>46171</v>
      </c>
      <c r="B150" t="s">
        <v>17</v>
      </c>
      <c r="C150" s="9">
        <v>0.7152777777773736</v>
      </c>
      <c r="D150" s="9">
        <v>0.8819444444452529</v>
      </c>
      <c r="G150" s="7">
        <f t="shared" si="4"/>
        <v>0.16666666666787933</v>
      </c>
      <c r="H150" s="8">
        <f t="shared" si="5"/>
        <v>47.999999999999986</v>
      </c>
    </row>
    <row r="151" ht="15.75" customHeight="1" spans="1:8" x14ac:dyDescent="0.25">
      <c r="A151" s="6">
        <v>46172</v>
      </c>
      <c r="B151" t="s">
        <v>18</v>
      </c>
      <c r="C151" s="9">
        <v>0.3645833333321207</v>
      </c>
      <c r="D151" s="9">
        <v>0.5</v>
      </c>
      <c r="E151" s="9">
        <v>0.5680555555554747</v>
      </c>
      <c r="F151" s="9">
        <v>0.875</v>
      </c>
      <c r="G151" s="7">
        <f t="shared" si="4"/>
        <v>0.4423611111124046</v>
      </c>
      <c r="H151" s="8">
        <f t="shared" si="5"/>
        <v>127.4</v>
      </c>
    </row>
    <row r="152" ht="15.75" customHeight="1" spans="1:8" x14ac:dyDescent="0.25">
      <c r="A152" s="6">
        <v>46173</v>
      </c>
      <c r="B152" t="s">
        <v>19</v>
      </c>
      <c r="G152" s="7">
        <f t="shared" si="4"/>
        <v>0</v>
      </c>
      <c r="H152" s="8">
        <f t="shared" si="5"/>
        <v>0</v>
      </c>
    </row>
    <row r="153" ht="15.75" customHeight="1" spans="1:8" x14ac:dyDescent="0.25">
      <c r="A153" s="6">
        <v>46174</v>
      </c>
      <c r="B153" t="s">
        <v>20</v>
      </c>
      <c r="G153" s="7">
        <f t="shared" si="4"/>
        <v>0</v>
      </c>
      <c r="H153" s="8">
        <f t="shared" si="5"/>
        <v>0</v>
      </c>
    </row>
    <row r="154" ht="15.75" customHeight="1" spans="1:8" x14ac:dyDescent="0.25">
      <c r="A154" s="6">
        <v>46175</v>
      </c>
      <c r="B154" t="s">
        <v>21</v>
      </c>
      <c r="G154" s="7">
        <f t="shared" si="4"/>
        <v>0</v>
      </c>
      <c r="H154" s="8">
        <f t="shared" si="5"/>
        <v>0</v>
      </c>
    </row>
    <row r="155" ht="15.75" customHeight="1" spans="1:8" x14ac:dyDescent="0.25">
      <c r="A155" s="6">
        <v>46176</v>
      </c>
      <c r="B155" t="s">
        <v>24</v>
      </c>
      <c r="G155" s="7">
        <f t="shared" si="4"/>
        <v>0</v>
      </c>
      <c r="H155" s="8">
        <f t="shared" si="5"/>
        <v>0</v>
      </c>
    </row>
    <row r="156" ht="15.75" customHeight="1" spans="1:8" x14ac:dyDescent="0.25">
      <c r="A156" s="6">
        <v>46177</v>
      </c>
      <c r="B156" t="s">
        <v>15</v>
      </c>
      <c r="G156" s="7">
        <f t="shared" si="4"/>
        <v>0</v>
      </c>
      <c r="H156" s="8">
        <f t="shared" si="5"/>
        <v>0</v>
      </c>
    </row>
    <row r="157" ht="15.75" customHeight="1" spans="1:8" x14ac:dyDescent="0.25">
      <c r="A157" s="6">
        <v>46178</v>
      </c>
      <c r="B157" t="s">
        <v>17</v>
      </c>
      <c r="G157" s="7">
        <f t="shared" si="4"/>
        <v>0</v>
      </c>
      <c r="H157" s="8">
        <f t="shared" si="5"/>
        <v>0</v>
      </c>
    </row>
    <row r="158" ht="15.75" customHeight="1" spans="1:8" x14ac:dyDescent="0.25">
      <c r="A158" s="6">
        <v>46179</v>
      </c>
      <c r="B158" t="s">
        <v>18</v>
      </c>
      <c r="G158" s="7">
        <f t="shared" si="4"/>
        <v>0</v>
      </c>
      <c r="H158" s="8">
        <f t="shared" si="5"/>
        <v>0</v>
      </c>
    </row>
    <row r="159" ht="15.75" customHeight="1" spans="1:8" x14ac:dyDescent="0.25">
      <c r="A159" s="6">
        <v>46180</v>
      </c>
      <c r="B159" t="s">
        <v>19</v>
      </c>
      <c r="G159" s="7">
        <f t="shared" si="4"/>
        <v>0</v>
      </c>
      <c r="H159" s="8">
        <f t="shared" si="5"/>
        <v>0</v>
      </c>
    </row>
    <row r="160" ht="15.75" customHeight="1" spans="1:8" x14ac:dyDescent="0.25">
      <c r="A160" s="6">
        <v>46181</v>
      </c>
      <c r="B160" t="s">
        <v>20</v>
      </c>
      <c r="G160" s="7">
        <f t="shared" si="4"/>
        <v>0</v>
      </c>
      <c r="H160" s="8">
        <f t="shared" si="5"/>
        <v>0</v>
      </c>
    </row>
    <row r="161" ht="15.75" customHeight="1" spans="1:8" x14ac:dyDescent="0.25">
      <c r="A161" s="6">
        <v>46182</v>
      </c>
      <c r="B161" t="s">
        <v>21</v>
      </c>
      <c r="G161" s="7">
        <f t="shared" si="4"/>
        <v>0</v>
      </c>
      <c r="H161" s="8">
        <f t="shared" si="5"/>
        <v>0</v>
      </c>
    </row>
    <row r="162" ht="15.75" customHeight="1" spans="1:8" x14ac:dyDescent="0.25">
      <c r="A162" s="6">
        <v>46183</v>
      </c>
      <c r="B162" t="s">
        <v>24</v>
      </c>
      <c r="G162" s="7">
        <f t="shared" si="4"/>
        <v>0</v>
      </c>
      <c r="H162" s="8">
        <f t="shared" si="5"/>
        <v>0</v>
      </c>
    </row>
    <row r="163" ht="15.75" customHeight="1" spans="1:8" x14ac:dyDescent="0.25">
      <c r="A163" s="6">
        <v>46184</v>
      </c>
      <c r="B163" t="s">
        <v>15</v>
      </c>
      <c r="G163" s="7">
        <f t="shared" si="4"/>
        <v>0</v>
      </c>
      <c r="H163" s="8">
        <f t="shared" si="5"/>
        <v>0</v>
      </c>
    </row>
    <row r="164" ht="15.75" customHeight="1" spans="1:8" x14ac:dyDescent="0.25">
      <c r="A164" s="6">
        <v>46185</v>
      </c>
      <c r="B164" t="s">
        <v>17</v>
      </c>
      <c r="G164" s="7">
        <f t="shared" si="4"/>
        <v>0</v>
      </c>
      <c r="H164" s="8">
        <f t="shared" si="5"/>
        <v>0</v>
      </c>
    </row>
    <row r="165" ht="15.75" customHeight="1" spans="1:8" x14ac:dyDescent="0.25">
      <c r="A165" s="6">
        <v>46186</v>
      </c>
      <c r="B165" t="s">
        <v>18</v>
      </c>
      <c r="G165" s="7">
        <f t="shared" si="4"/>
        <v>0</v>
      </c>
      <c r="H165" s="8">
        <f t="shared" si="5"/>
        <v>0</v>
      </c>
    </row>
    <row r="166" ht="15.75" customHeight="1" spans="1:8" x14ac:dyDescent="0.25">
      <c r="A166" s="6">
        <v>46187</v>
      </c>
      <c r="B166" t="s">
        <v>19</v>
      </c>
      <c r="G166" s="7">
        <f t="shared" si="4"/>
        <v>0</v>
      </c>
      <c r="H166" s="8">
        <f t="shared" si="5"/>
        <v>0</v>
      </c>
    </row>
    <row r="167" ht="15.75" customHeight="1" spans="1:8" x14ac:dyDescent="0.25">
      <c r="A167" s="6">
        <v>46188</v>
      </c>
      <c r="B167" t="s">
        <v>20</v>
      </c>
      <c r="G167" s="7">
        <f t="shared" si="4"/>
        <v>0</v>
      </c>
      <c r="H167" s="8">
        <f t="shared" si="5"/>
        <v>0</v>
      </c>
    </row>
    <row r="168" ht="15.75" customHeight="1" spans="1:8" x14ac:dyDescent="0.25">
      <c r="A168" s="6">
        <v>46189</v>
      </c>
      <c r="B168" t="s">
        <v>21</v>
      </c>
      <c r="G168" s="7">
        <f t="shared" si="4"/>
        <v>0</v>
      </c>
      <c r="H168" s="8">
        <f t="shared" si="5"/>
        <v>0</v>
      </c>
    </row>
    <row r="169" ht="15.75" customHeight="1" spans="1:8" x14ac:dyDescent="0.25">
      <c r="A169" s="6">
        <v>46190</v>
      </c>
      <c r="B169" t="s">
        <v>24</v>
      </c>
      <c r="G169" s="7">
        <f t="shared" si="4"/>
        <v>0</v>
      </c>
      <c r="H169" s="8">
        <f t="shared" si="5"/>
        <v>0</v>
      </c>
    </row>
    <row r="170" ht="15.75" customHeight="1" spans="1:8" x14ac:dyDescent="0.25">
      <c r="A170" s="6">
        <v>46191</v>
      </c>
      <c r="B170" t="s">
        <v>15</v>
      </c>
      <c r="G170" s="7">
        <f t="shared" si="4"/>
        <v>0</v>
      </c>
      <c r="H170" s="8">
        <f t="shared" si="5"/>
        <v>0</v>
      </c>
    </row>
    <row r="171" ht="15.75" customHeight="1" spans="1:8" x14ac:dyDescent="0.25">
      <c r="A171" s="6">
        <v>46192</v>
      </c>
      <c r="B171" t="s">
        <v>17</v>
      </c>
      <c r="G171" s="7">
        <f t="shared" si="4"/>
        <v>0</v>
      </c>
      <c r="H171" s="8">
        <f t="shared" si="5"/>
        <v>0</v>
      </c>
    </row>
    <row r="172" ht="15.75" customHeight="1" spans="1:8" x14ac:dyDescent="0.25">
      <c r="A172" s="6">
        <v>46193</v>
      </c>
      <c r="B172" t="s">
        <v>18</v>
      </c>
      <c r="G172" s="7">
        <f t="shared" si="4"/>
        <v>0</v>
      </c>
      <c r="H172" s="8">
        <f t="shared" si="5"/>
        <v>0</v>
      </c>
    </row>
    <row r="173" ht="15.75" customHeight="1" spans="1:8" x14ac:dyDescent="0.25">
      <c r="A173" s="6">
        <v>46194</v>
      </c>
      <c r="B173" t="s">
        <v>19</v>
      </c>
      <c r="G173" s="7">
        <f t="shared" si="4"/>
        <v>0</v>
      </c>
      <c r="H173" s="8">
        <f t="shared" si="5"/>
        <v>0</v>
      </c>
    </row>
    <row r="174" ht="15.75" customHeight="1" spans="1:8" x14ac:dyDescent="0.25">
      <c r="A174" s="6">
        <v>46195</v>
      </c>
      <c r="B174" t="s">
        <v>20</v>
      </c>
      <c r="G174" s="7">
        <f t="shared" si="4"/>
        <v>0</v>
      </c>
      <c r="H174" s="8">
        <f t="shared" si="5"/>
        <v>0</v>
      </c>
    </row>
    <row r="175" ht="15.75" customHeight="1" spans="1:8" x14ac:dyDescent="0.25">
      <c r="A175" s="6">
        <v>46196</v>
      </c>
      <c r="B175" t="s">
        <v>21</v>
      </c>
      <c r="G175" s="7">
        <f t="shared" si="4"/>
        <v>0</v>
      </c>
      <c r="H175" s="8">
        <f t="shared" si="5"/>
        <v>0</v>
      </c>
    </row>
    <row r="176" ht="15.75" customHeight="1" spans="1:8" x14ac:dyDescent="0.25">
      <c r="A176" s="6">
        <v>46197</v>
      </c>
      <c r="B176" t="s">
        <v>24</v>
      </c>
      <c r="G176" s="7">
        <f t="shared" si="4"/>
        <v>0</v>
      </c>
      <c r="H176" s="8">
        <f t="shared" si="5"/>
        <v>0</v>
      </c>
    </row>
    <row r="177" ht="15.75" customHeight="1" spans="1:8" x14ac:dyDescent="0.25">
      <c r="A177" s="6">
        <v>46198</v>
      </c>
      <c r="B177" t="s">
        <v>15</v>
      </c>
      <c r="G177" s="7">
        <f t="shared" si="4"/>
        <v>0</v>
      </c>
      <c r="H177" s="8">
        <f t="shared" si="5"/>
        <v>0</v>
      </c>
    </row>
    <row r="178" ht="15.75" customHeight="1" spans="1:8" x14ac:dyDescent="0.25">
      <c r="A178" s="6">
        <v>46199</v>
      </c>
      <c r="B178" t="s">
        <v>17</v>
      </c>
      <c r="G178" s="7">
        <f t="shared" si="4"/>
        <v>0</v>
      </c>
      <c r="H178" s="8">
        <f t="shared" si="5"/>
        <v>0</v>
      </c>
    </row>
    <row r="179" ht="15.75" customHeight="1" spans="1:8" x14ac:dyDescent="0.25">
      <c r="A179" s="6">
        <v>46200</v>
      </c>
      <c r="B179" t="s">
        <v>18</v>
      </c>
      <c r="G179" s="7">
        <f t="shared" si="4"/>
        <v>0</v>
      </c>
      <c r="H179" s="8">
        <f t="shared" si="5"/>
        <v>0</v>
      </c>
    </row>
    <row r="180" ht="15.75" customHeight="1" spans="1:8" x14ac:dyDescent="0.25">
      <c r="A180" s="6">
        <v>46201</v>
      </c>
      <c r="B180" t="s">
        <v>19</v>
      </c>
      <c r="G180" s="7">
        <f t="shared" si="4"/>
        <v>0</v>
      </c>
      <c r="H180" s="8">
        <f t="shared" si="5"/>
        <v>0</v>
      </c>
    </row>
    <row r="181" ht="15.75" customHeight="1" spans="1:8" x14ac:dyDescent="0.25">
      <c r="A181" s="6">
        <v>46202</v>
      </c>
      <c r="B181" t="s">
        <v>20</v>
      </c>
      <c r="G181" s="7">
        <f t="shared" si="4"/>
        <v>0</v>
      </c>
      <c r="H181" s="8">
        <f t="shared" si="5"/>
        <v>0</v>
      </c>
    </row>
    <row r="182" ht="15.75" customHeight="1" spans="1:8" x14ac:dyDescent="0.25">
      <c r="A182" s="6">
        <v>46203</v>
      </c>
      <c r="B182" t="s">
        <v>21</v>
      </c>
      <c r="G182" s="7">
        <f t="shared" si="4"/>
        <v>0</v>
      </c>
      <c r="H182" s="8">
        <f t="shared" si="5"/>
        <v>0</v>
      </c>
    </row>
    <row r="183" ht="15.75" customHeight="1" spans="1:8" x14ac:dyDescent="0.25">
      <c r="A183" s="6">
        <v>46204</v>
      </c>
      <c r="B183" t="s">
        <v>24</v>
      </c>
      <c r="G183" s="7">
        <f t="shared" si="4"/>
        <v>0</v>
      </c>
      <c r="H183" s="8">
        <f t="shared" si="5"/>
        <v>0</v>
      </c>
    </row>
    <row r="184" ht="15.75" customHeight="1" spans="1:8" x14ac:dyDescent="0.25">
      <c r="A184" s="6">
        <v>46205</v>
      </c>
      <c r="B184" t="s">
        <v>15</v>
      </c>
      <c r="G184" s="7">
        <f t="shared" si="4"/>
        <v>0</v>
      </c>
      <c r="H184" s="8">
        <f t="shared" si="5"/>
        <v>0</v>
      </c>
    </row>
    <row r="185" ht="15.75" customHeight="1" spans="1:8" x14ac:dyDescent="0.25">
      <c r="A185" s="6">
        <v>46206</v>
      </c>
      <c r="B185" t="s">
        <v>17</v>
      </c>
      <c r="G185" s="7">
        <f t="shared" si="4"/>
        <v>0</v>
      </c>
      <c r="H185" s="8">
        <f t="shared" si="5"/>
        <v>0</v>
      </c>
    </row>
    <row r="186" ht="15.75" customHeight="1" spans="1:8" x14ac:dyDescent="0.25">
      <c r="A186" s="6">
        <v>46207</v>
      </c>
      <c r="B186" t="s">
        <v>18</v>
      </c>
      <c r="G186" s="7">
        <f t="shared" si="4"/>
        <v>0</v>
      </c>
      <c r="H186" s="8">
        <f t="shared" si="5"/>
        <v>0</v>
      </c>
    </row>
    <row r="187" ht="15.75" customHeight="1" spans="1:8" x14ac:dyDescent="0.25">
      <c r="A187" s="6">
        <v>46208</v>
      </c>
      <c r="B187" t="s">
        <v>19</v>
      </c>
      <c r="G187" s="7">
        <f t="shared" si="4"/>
        <v>0</v>
      </c>
      <c r="H187" s="8">
        <f t="shared" si="5"/>
        <v>0</v>
      </c>
    </row>
    <row r="188" ht="15.75" customHeight="1" spans="1:8" x14ac:dyDescent="0.25">
      <c r="A188" s="6">
        <v>46209</v>
      </c>
      <c r="B188" t="s">
        <v>20</v>
      </c>
      <c r="G188" s="7">
        <f t="shared" si="4"/>
        <v>0</v>
      </c>
      <c r="H188" s="8">
        <f t="shared" si="5"/>
        <v>0</v>
      </c>
    </row>
    <row r="189" ht="15.75" customHeight="1" spans="1:8" x14ac:dyDescent="0.25">
      <c r="A189" s="6">
        <v>46210</v>
      </c>
      <c r="B189" t="s">
        <v>21</v>
      </c>
      <c r="G189" s="7">
        <f t="shared" si="4"/>
        <v>0</v>
      </c>
      <c r="H189" s="8">
        <f t="shared" si="5"/>
        <v>0</v>
      </c>
    </row>
    <row r="190" ht="15.75" customHeight="1" spans="1:8" x14ac:dyDescent="0.25">
      <c r="A190" s="6">
        <v>46211</v>
      </c>
      <c r="B190" t="s">
        <v>24</v>
      </c>
      <c r="G190" s="7">
        <f t="shared" si="4"/>
        <v>0</v>
      </c>
      <c r="H190" s="8">
        <f t="shared" si="5"/>
        <v>0</v>
      </c>
    </row>
    <row r="191" ht="15.75" customHeight="1" spans="1:8" x14ac:dyDescent="0.25">
      <c r="A191" s="6">
        <v>46212</v>
      </c>
      <c r="B191" t="s">
        <v>15</v>
      </c>
      <c r="G191" s="7">
        <f t="shared" si="4"/>
        <v>0</v>
      </c>
      <c r="H191" s="8">
        <f t="shared" si="5"/>
        <v>0</v>
      </c>
    </row>
    <row r="192" ht="15.75" customHeight="1" spans="1:8" x14ac:dyDescent="0.25">
      <c r="A192" s="6">
        <v>46213</v>
      </c>
      <c r="B192" t="s">
        <v>17</v>
      </c>
      <c r="G192" s="7">
        <f t="shared" si="4"/>
        <v>0</v>
      </c>
      <c r="H192" s="8">
        <f t="shared" si="5"/>
        <v>0</v>
      </c>
    </row>
    <row r="193" ht="15.75" customHeight="1" spans="1:8" x14ac:dyDescent="0.25">
      <c r="A193" s="6">
        <v>46214</v>
      </c>
      <c r="B193" t="s">
        <v>18</v>
      </c>
      <c r="G193" s="7">
        <f t="shared" si="4"/>
        <v>0</v>
      </c>
      <c r="H193" s="8">
        <f t="shared" si="5"/>
        <v>0</v>
      </c>
    </row>
    <row r="194" ht="15.75" customHeight="1" spans="1:8" x14ac:dyDescent="0.25">
      <c r="A194" s="6">
        <v>46215</v>
      </c>
      <c r="B194" t="s">
        <v>19</v>
      </c>
      <c r="G194" s="7">
        <f t="shared" ref="G194:G257" si="6">IF(AND(C194&lt;&gt;"",D194&lt;&gt;""),(D194-C194),0)+IF(AND(E194&lt;&gt;"",F194&lt;&gt;""),(F194-E194),0)</f>
        <v>0</v>
      </c>
      <c r="H194" s="8">
        <f t="shared" si="5"/>
        <v>0</v>
      </c>
    </row>
    <row r="195" ht="15.75" customHeight="1" spans="1:8" x14ac:dyDescent="0.25">
      <c r="A195" s="6">
        <v>46216</v>
      </c>
      <c r="B195" t="s">
        <v>20</v>
      </c>
      <c r="G195" s="7">
        <f t="shared" si="6"/>
        <v>0</v>
      </c>
      <c r="H195" s="8">
        <f t="shared" ref="H195:H258" si="7">(G195*24)*$I$2</f>
        <v>0</v>
      </c>
    </row>
    <row r="196" ht="15.75" customHeight="1" spans="1:8" x14ac:dyDescent="0.25">
      <c r="A196" s="6">
        <v>46217</v>
      </c>
      <c r="B196" t="s">
        <v>21</v>
      </c>
      <c r="G196" s="7">
        <f t="shared" si="6"/>
        <v>0</v>
      </c>
      <c r="H196" s="8">
        <f t="shared" si="7"/>
        <v>0</v>
      </c>
    </row>
    <row r="197" ht="15.75" customHeight="1" spans="1:8" x14ac:dyDescent="0.25">
      <c r="A197" s="6">
        <v>46218</v>
      </c>
      <c r="B197" t="s">
        <v>24</v>
      </c>
      <c r="G197" s="7">
        <f t="shared" si="6"/>
        <v>0</v>
      </c>
      <c r="H197" s="8">
        <f t="shared" si="7"/>
        <v>0</v>
      </c>
    </row>
    <row r="198" ht="15.75" customHeight="1" spans="1:8" x14ac:dyDescent="0.25">
      <c r="A198" s="6">
        <v>46219</v>
      </c>
      <c r="B198" t="s">
        <v>15</v>
      </c>
      <c r="G198" s="7">
        <f t="shared" si="6"/>
        <v>0</v>
      </c>
      <c r="H198" s="8">
        <f t="shared" si="7"/>
        <v>0</v>
      </c>
    </row>
    <row r="199" ht="15.75" customHeight="1" spans="1:8" x14ac:dyDescent="0.25">
      <c r="A199" s="6">
        <v>46220</v>
      </c>
      <c r="B199" t="s">
        <v>17</v>
      </c>
      <c r="G199" s="7">
        <f t="shared" si="6"/>
        <v>0</v>
      </c>
      <c r="H199" s="8">
        <f t="shared" si="7"/>
        <v>0</v>
      </c>
    </row>
    <row r="200" ht="15.75" customHeight="1" spans="1:8" x14ac:dyDescent="0.25">
      <c r="A200" s="6">
        <v>46221</v>
      </c>
      <c r="B200" t="s">
        <v>18</v>
      </c>
      <c r="G200" s="7">
        <f t="shared" si="6"/>
        <v>0</v>
      </c>
      <c r="H200" s="8">
        <f t="shared" si="7"/>
        <v>0</v>
      </c>
    </row>
    <row r="201" ht="15.75" customHeight="1" spans="1:8" x14ac:dyDescent="0.25">
      <c r="A201" s="6">
        <v>46222</v>
      </c>
      <c r="B201" t="s">
        <v>19</v>
      </c>
      <c r="G201" s="7">
        <f t="shared" si="6"/>
        <v>0</v>
      </c>
      <c r="H201" s="8">
        <f t="shared" si="7"/>
        <v>0</v>
      </c>
    </row>
    <row r="202" ht="15.75" customHeight="1" spans="1:8" x14ac:dyDescent="0.25">
      <c r="A202" s="6">
        <v>46223</v>
      </c>
      <c r="B202" t="s">
        <v>20</v>
      </c>
      <c r="G202" s="7">
        <f t="shared" si="6"/>
        <v>0</v>
      </c>
      <c r="H202" s="8">
        <f t="shared" si="7"/>
        <v>0</v>
      </c>
    </row>
    <row r="203" ht="15.75" customHeight="1" spans="1:8" x14ac:dyDescent="0.25">
      <c r="A203" s="6">
        <v>46224</v>
      </c>
      <c r="B203" t="s">
        <v>21</v>
      </c>
      <c r="G203" s="7">
        <f t="shared" si="6"/>
        <v>0</v>
      </c>
      <c r="H203" s="8">
        <f t="shared" si="7"/>
        <v>0</v>
      </c>
    </row>
    <row r="204" ht="15.75" customHeight="1" spans="1:8" x14ac:dyDescent="0.25">
      <c r="A204" s="6">
        <v>46225</v>
      </c>
      <c r="B204" t="s">
        <v>24</v>
      </c>
      <c r="G204" s="7">
        <f t="shared" si="6"/>
        <v>0</v>
      </c>
      <c r="H204" s="8">
        <f t="shared" si="7"/>
        <v>0</v>
      </c>
    </row>
    <row r="205" ht="15.75" customHeight="1" spans="1:8" x14ac:dyDescent="0.25">
      <c r="A205" s="6">
        <v>46226</v>
      </c>
      <c r="B205" t="s">
        <v>15</v>
      </c>
      <c r="G205" s="7">
        <f t="shared" si="6"/>
        <v>0</v>
      </c>
      <c r="H205" s="8">
        <f t="shared" si="7"/>
        <v>0</v>
      </c>
    </row>
    <row r="206" ht="15.75" customHeight="1" spans="1:8" x14ac:dyDescent="0.25">
      <c r="A206" s="6">
        <v>46227</v>
      </c>
      <c r="B206" t="s">
        <v>17</v>
      </c>
      <c r="G206" s="7">
        <f t="shared" si="6"/>
        <v>0</v>
      </c>
      <c r="H206" s="8">
        <f t="shared" si="7"/>
        <v>0</v>
      </c>
    </row>
    <row r="207" ht="15.75" customHeight="1" spans="1:8" x14ac:dyDescent="0.25">
      <c r="A207" s="6">
        <v>46228</v>
      </c>
      <c r="B207" t="s">
        <v>18</v>
      </c>
      <c r="G207" s="7">
        <f t="shared" si="6"/>
        <v>0</v>
      </c>
      <c r="H207" s="8">
        <f t="shared" si="7"/>
        <v>0</v>
      </c>
    </row>
    <row r="208" ht="15.75" customHeight="1" spans="1:8" x14ac:dyDescent="0.25">
      <c r="A208" s="6">
        <v>46229</v>
      </c>
      <c r="B208" t="s">
        <v>19</v>
      </c>
      <c r="G208" s="7">
        <f t="shared" si="6"/>
        <v>0</v>
      </c>
      <c r="H208" s="8">
        <f t="shared" si="7"/>
        <v>0</v>
      </c>
    </row>
    <row r="209" ht="15.75" customHeight="1" spans="1:8" x14ac:dyDescent="0.25">
      <c r="A209" s="6">
        <v>46230</v>
      </c>
      <c r="B209" t="s">
        <v>20</v>
      </c>
      <c r="G209" s="7">
        <f t="shared" si="6"/>
        <v>0</v>
      </c>
      <c r="H209" s="8">
        <f t="shared" si="7"/>
        <v>0</v>
      </c>
    </row>
    <row r="210" ht="15.75" customHeight="1" spans="1:8" x14ac:dyDescent="0.25">
      <c r="A210" s="6">
        <v>46231</v>
      </c>
      <c r="B210" t="s">
        <v>21</v>
      </c>
      <c r="G210" s="7">
        <f t="shared" si="6"/>
        <v>0</v>
      </c>
      <c r="H210" s="8">
        <f t="shared" si="7"/>
        <v>0</v>
      </c>
    </row>
    <row r="211" ht="15.75" customHeight="1" spans="1:8" x14ac:dyDescent="0.25">
      <c r="A211" s="6">
        <v>46232</v>
      </c>
      <c r="B211" t="s">
        <v>24</v>
      </c>
      <c r="G211" s="7">
        <f t="shared" si="6"/>
        <v>0</v>
      </c>
      <c r="H211" s="8">
        <f t="shared" si="7"/>
        <v>0</v>
      </c>
    </row>
    <row r="212" ht="15.75" customHeight="1" spans="1:8" x14ac:dyDescent="0.25">
      <c r="A212" s="6">
        <v>46233</v>
      </c>
      <c r="B212" t="s">
        <v>15</v>
      </c>
      <c r="G212" s="7">
        <f t="shared" si="6"/>
        <v>0</v>
      </c>
      <c r="H212" s="8">
        <f t="shared" si="7"/>
        <v>0</v>
      </c>
    </row>
    <row r="213" ht="15.75" customHeight="1" spans="1:8" x14ac:dyDescent="0.25">
      <c r="A213" s="6">
        <v>46234</v>
      </c>
      <c r="B213" t="s">
        <v>17</v>
      </c>
      <c r="G213" s="7">
        <f t="shared" si="6"/>
        <v>0</v>
      </c>
      <c r="H213" s="8">
        <f t="shared" si="7"/>
        <v>0</v>
      </c>
    </row>
    <row r="214" ht="15.75" customHeight="1" spans="1:8" x14ac:dyDescent="0.25">
      <c r="A214" s="6">
        <v>46235</v>
      </c>
      <c r="B214" t="s">
        <v>18</v>
      </c>
      <c r="G214" s="7">
        <f t="shared" si="6"/>
        <v>0</v>
      </c>
      <c r="H214" s="8">
        <f t="shared" si="7"/>
        <v>0</v>
      </c>
    </row>
    <row r="215" ht="15.75" customHeight="1" spans="1:8" x14ac:dyDescent="0.25">
      <c r="A215" s="6">
        <v>46236</v>
      </c>
      <c r="B215" t="s">
        <v>19</v>
      </c>
      <c r="G215" s="7">
        <f t="shared" si="6"/>
        <v>0</v>
      </c>
      <c r="H215" s="8">
        <f t="shared" si="7"/>
        <v>0</v>
      </c>
    </row>
    <row r="216" ht="15.75" customHeight="1" spans="1:8" x14ac:dyDescent="0.25">
      <c r="A216" s="6">
        <v>46237</v>
      </c>
      <c r="B216" t="s">
        <v>20</v>
      </c>
      <c r="G216" s="7">
        <f t="shared" si="6"/>
        <v>0</v>
      </c>
      <c r="H216" s="8">
        <f t="shared" si="7"/>
        <v>0</v>
      </c>
    </row>
    <row r="217" ht="15.75" customHeight="1" spans="1:8" x14ac:dyDescent="0.25">
      <c r="A217" s="6">
        <v>46238</v>
      </c>
      <c r="B217" t="s">
        <v>21</v>
      </c>
      <c r="G217" s="7">
        <f t="shared" si="6"/>
        <v>0</v>
      </c>
      <c r="H217" s="8">
        <f t="shared" si="7"/>
        <v>0</v>
      </c>
    </row>
    <row r="218" ht="15.75" customHeight="1" spans="1:8" x14ac:dyDescent="0.25">
      <c r="A218" s="6">
        <v>46239</v>
      </c>
      <c r="B218" t="s">
        <v>24</v>
      </c>
      <c r="G218" s="7">
        <f t="shared" si="6"/>
        <v>0</v>
      </c>
      <c r="H218" s="8">
        <f t="shared" si="7"/>
        <v>0</v>
      </c>
    </row>
    <row r="219" ht="15.75" customHeight="1" spans="1:8" x14ac:dyDescent="0.25">
      <c r="A219" s="6">
        <v>46240</v>
      </c>
      <c r="B219" t="s">
        <v>15</v>
      </c>
      <c r="G219" s="7">
        <f t="shared" si="6"/>
        <v>0</v>
      </c>
      <c r="H219" s="8">
        <f t="shared" si="7"/>
        <v>0</v>
      </c>
    </row>
    <row r="220" ht="15.75" customHeight="1" spans="1:8" x14ac:dyDescent="0.25">
      <c r="A220" s="6">
        <v>46241</v>
      </c>
      <c r="B220" t="s">
        <v>17</v>
      </c>
      <c r="G220" s="7">
        <f t="shared" si="6"/>
        <v>0</v>
      </c>
      <c r="H220" s="8">
        <f t="shared" si="7"/>
        <v>0</v>
      </c>
    </row>
    <row r="221" ht="15.75" customHeight="1" spans="1:8" x14ac:dyDescent="0.25">
      <c r="A221" s="6">
        <v>46242</v>
      </c>
      <c r="B221" t="s">
        <v>18</v>
      </c>
      <c r="G221" s="7">
        <f t="shared" si="6"/>
        <v>0</v>
      </c>
      <c r="H221" s="8">
        <f t="shared" si="7"/>
        <v>0</v>
      </c>
    </row>
    <row r="222" ht="15.75" customHeight="1" spans="1:8" x14ac:dyDescent="0.25">
      <c r="A222" s="6">
        <v>46243</v>
      </c>
      <c r="B222" t="s">
        <v>19</v>
      </c>
      <c r="G222" s="7">
        <f t="shared" si="6"/>
        <v>0</v>
      </c>
      <c r="H222" s="8">
        <f t="shared" si="7"/>
        <v>0</v>
      </c>
    </row>
    <row r="223" ht="15.75" customHeight="1" spans="1:8" x14ac:dyDescent="0.25">
      <c r="A223" s="6">
        <v>46244</v>
      </c>
      <c r="B223" t="s">
        <v>20</v>
      </c>
      <c r="G223" s="7">
        <f t="shared" si="6"/>
        <v>0</v>
      </c>
      <c r="H223" s="8">
        <f t="shared" si="7"/>
        <v>0</v>
      </c>
    </row>
    <row r="224" ht="15.75" customHeight="1" spans="1:8" x14ac:dyDescent="0.25">
      <c r="A224" s="6">
        <v>46245</v>
      </c>
      <c r="B224" t="s">
        <v>21</v>
      </c>
      <c r="G224" s="7">
        <f t="shared" si="6"/>
        <v>0</v>
      </c>
      <c r="H224" s="8">
        <f t="shared" si="7"/>
        <v>0</v>
      </c>
    </row>
    <row r="225" ht="15.75" customHeight="1" spans="1:8" x14ac:dyDescent="0.25">
      <c r="A225" s="6">
        <v>46246</v>
      </c>
      <c r="B225" t="s">
        <v>24</v>
      </c>
      <c r="G225" s="7">
        <f t="shared" si="6"/>
        <v>0</v>
      </c>
      <c r="H225" s="8">
        <f t="shared" si="7"/>
        <v>0</v>
      </c>
    </row>
    <row r="226" ht="15.75" customHeight="1" spans="1:8" x14ac:dyDescent="0.25">
      <c r="A226" s="6">
        <v>46247</v>
      </c>
      <c r="B226" t="s">
        <v>15</v>
      </c>
      <c r="G226" s="7">
        <f t="shared" si="6"/>
        <v>0</v>
      </c>
      <c r="H226" s="8">
        <f t="shared" si="7"/>
        <v>0</v>
      </c>
    </row>
    <row r="227" ht="15.75" customHeight="1" spans="1:8" x14ac:dyDescent="0.25">
      <c r="A227" s="6">
        <v>46248</v>
      </c>
      <c r="B227" t="s">
        <v>17</v>
      </c>
      <c r="G227" s="7">
        <f t="shared" si="6"/>
        <v>0</v>
      </c>
      <c r="H227" s="8">
        <f t="shared" si="7"/>
        <v>0</v>
      </c>
    </row>
    <row r="228" ht="15.75" customHeight="1" spans="1:8" x14ac:dyDescent="0.25">
      <c r="A228" s="6">
        <v>46249</v>
      </c>
      <c r="B228" t="s">
        <v>18</v>
      </c>
      <c r="G228" s="7">
        <f t="shared" si="6"/>
        <v>0</v>
      </c>
      <c r="H228" s="8">
        <f t="shared" si="7"/>
        <v>0</v>
      </c>
    </row>
    <row r="229" ht="15.75" customHeight="1" spans="1:8" x14ac:dyDescent="0.25">
      <c r="A229" s="6">
        <v>46250</v>
      </c>
      <c r="B229" t="s">
        <v>19</v>
      </c>
      <c r="G229" s="7">
        <f t="shared" si="6"/>
        <v>0</v>
      </c>
      <c r="H229" s="8">
        <f t="shared" si="7"/>
        <v>0</v>
      </c>
    </row>
    <row r="230" ht="15.75" customHeight="1" spans="1:8" x14ac:dyDescent="0.25">
      <c r="A230" s="6">
        <v>46251</v>
      </c>
      <c r="B230" t="s">
        <v>20</v>
      </c>
      <c r="G230" s="7">
        <f t="shared" si="6"/>
        <v>0</v>
      </c>
      <c r="H230" s="8">
        <f t="shared" si="7"/>
        <v>0</v>
      </c>
    </row>
    <row r="231" ht="15.75" customHeight="1" spans="1:8" x14ac:dyDescent="0.25">
      <c r="A231" s="6">
        <v>46252</v>
      </c>
      <c r="B231" t="s">
        <v>21</v>
      </c>
      <c r="G231" s="7">
        <f t="shared" si="6"/>
        <v>0</v>
      </c>
      <c r="H231" s="8">
        <f t="shared" si="7"/>
        <v>0</v>
      </c>
    </row>
    <row r="232" ht="15.75" customHeight="1" spans="1:8" x14ac:dyDescent="0.25">
      <c r="A232" s="6">
        <v>46253</v>
      </c>
      <c r="B232" t="s">
        <v>24</v>
      </c>
      <c r="G232" s="7">
        <f t="shared" si="6"/>
        <v>0</v>
      </c>
      <c r="H232" s="8">
        <f t="shared" si="7"/>
        <v>0</v>
      </c>
    </row>
    <row r="233" ht="15.75" customHeight="1" spans="1:8" x14ac:dyDescent="0.25">
      <c r="A233" s="6">
        <v>46254</v>
      </c>
      <c r="B233" t="s">
        <v>15</v>
      </c>
      <c r="G233" s="7">
        <f t="shared" si="6"/>
        <v>0</v>
      </c>
      <c r="H233" s="8">
        <f t="shared" si="7"/>
        <v>0</v>
      </c>
    </row>
    <row r="234" ht="15.75" customHeight="1" spans="1:8" x14ac:dyDescent="0.25">
      <c r="A234" s="6">
        <v>46255</v>
      </c>
      <c r="B234" t="s">
        <v>17</v>
      </c>
      <c r="G234" s="7">
        <f t="shared" si="6"/>
        <v>0</v>
      </c>
      <c r="H234" s="8">
        <f t="shared" si="7"/>
        <v>0</v>
      </c>
    </row>
    <row r="235" ht="15.75" customHeight="1" spans="1:8" x14ac:dyDescent="0.25">
      <c r="A235" s="6">
        <v>46256</v>
      </c>
      <c r="B235" t="s">
        <v>18</v>
      </c>
      <c r="G235" s="7">
        <f t="shared" si="6"/>
        <v>0</v>
      </c>
      <c r="H235" s="8">
        <f t="shared" si="7"/>
        <v>0</v>
      </c>
    </row>
    <row r="236" ht="15.75" customHeight="1" spans="1:8" x14ac:dyDescent="0.25">
      <c r="A236" s="6">
        <v>46257</v>
      </c>
      <c r="B236" t="s">
        <v>19</v>
      </c>
      <c r="G236" s="7">
        <f t="shared" si="6"/>
        <v>0</v>
      </c>
      <c r="H236" s="8">
        <f t="shared" si="7"/>
        <v>0</v>
      </c>
    </row>
    <row r="237" ht="15.75" customHeight="1" spans="1:8" x14ac:dyDescent="0.25">
      <c r="A237" s="6">
        <v>46258</v>
      </c>
      <c r="B237" t="s">
        <v>20</v>
      </c>
      <c r="G237" s="7">
        <f t="shared" si="6"/>
        <v>0</v>
      </c>
      <c r="H237" s="8">
        <f t="shared" si="7"/>
        <v>0</v>
      </c>
    </row>
    <row r="238" ht="15.75" customHeight="1" spans="1:8" x14ac:dyDescent="0.25">
      <c r="A238" s="6">
        <v>46259</v>
      </c>
      <c r="B238" t="s">
        <v>21</v>
      </c>
      <c r="G238" s="7">
        <f t="shared" si="6"/>
        <v>0</v>
      </c>
      <c r="H238" s="8">
        <f t="shared" si="7"/>
        <v>0</v>
      </c>
    </row>
    <row r="239" ht="15.75" customHeight="1" spans="1:8" x14ac:dyDescent="0.25">
      <c r="A239" s="6">
        <v>46260</v>
      </c>
      <c r="B239" t="s">
        <v>24</v>
      </c>
      <c r="G239" s="7">
        <f t="shared" si="6"/>
        <v>0</v>
      </c>
      <c r="H239" s="8">
        <f t="shared" si="7"/>
        <v>0</v>
      </c>
    </row>
    <row r="240" ht="15.75" customHeight="1" spans="1:8" x14ac:dyDescent="0.25">
      <c r="A240" s="6">
        <v>46261</v>
      </c>
      <c r="B240" t="s">
        <v>15</v>
      </c>
      <c r="G240" s="7">
        <f t="shared" si="6"/>
        <v>0</v>
      </c>
      <c r="H240" s="8">
        <f t="shared" si="7"/>
        <v>0</v>
      </c>
    </row>
    <row r="241" ht="15.75" customHeight="1" spans="1:8" x14ac:dyDescent="0.25">
      <c r="A241" s="6">
        <v>46262</v>
      </c>
      <c r="B241" t="s">
        <v>17</v>
      </c>
      <c r="G241" s="7">
        <f t="shared" si="6"/>
        <v>0</v>
      </c>
      <c r="H241" s="8">
        <f t="shared" si="7"/>
        <v>0</v>
      </c>
    </row>
    <row r="242" ht="15.75" customHeight="1" spans="1:8" x14ac:dyDescent="0.25">
      <c r="A242" s="6">
        <v>46263</v>
      </c>
      <c r="B242" t="s">
        <v>18</v>
      </c>
      <c r="G242" s="7">
        <f t="shared" si="6"/>
        <v>0</v>
      </c>
      <c r="H242" s="8">
        <f t="shared" si="7"/>
        <v>0</v>
      </c>
    </row>
    <row r="243" ht="15.75" customHeight="1" spans="1:8" x14ac:dyDescent="0.25">
      <c r="A243" s="6">
        <v>46264</v>
      </c>
      <c r="B243" t="s">
        <v>19</v>
      </c>
      <c r="G243" s="7">
        <f t="shared" si="6"/>
        <v>0</v>
      </c>
      <c r="H243" s="8">
        <f t="shared" si="7"/>
        <v>0</v>
      </c>
    </row>
    <row r="244" ht="15.75" customHeight="1" spans="1:8" x14ac:dyDescent="0.25">
      <c r="A244" s="6">
        <v>46265</v>
      </c>
      <c r="B244" t="s">
        <v>20</v>
      </c>
      <c r="G244" s="7">
        <f t="shared" si="6"/>
        <v>0</v>
      </c>
      <c r="H244" s="8">
        <f t="shared" si="7"/>
        <v>0</v>
      </c>
    </row>
    <row r="245" ht="15.75" customHeight="1" spans="1:8" x14ac:dyDescent="0.25">
      <c r="A245" s="6">
        <v>46266</v>
      </c>
      <c r="B245" t="s">
        <v>21</v>
      </c>
      <c r="G245" s="7">
        <f t="shared" si="6"/>
        <v>0</v>
      </c>
      <c r="H245" s="8">
        <f t="shared" si="7"/>
        <v>0</v>
      </c>
    </row>
    <row r="246" ht="15.75" customHeight="1" spans="1:8" x14ac:dyDescent="0.25">
      <c r="A246" s="6">
        <v>46267</v>
      </c>
      <c r="B246" t="s">
        <v>24</v>
      </c>
      <c r="G246" s="7">
        <f t="shared" si="6"/>
        <v>0</v>
      </c>
      <c r="H246" s="8">
        <f t="shared" si="7"/>
        <v>0</v>
      </c>
    </row>
    <row r="247" ht="15.75" customHeight="1" spans="1:8" x14ac:dyDescent="0.25">
      <c r="A247" s="6">
        <v>46268</v>
      </c>
      <c r="B247" t="s">
        <v>15</v>
      </c>
      <c r="G247" s="7">
        <f t="shared" si="6"/>
        <v>0</v>
      </c>
      <c r="H247" s="8">
        <f t="shared" si="7"/>
        <v>0</v>
      </c>
    </row>
    <row r="248" ht="15.75" customHeight="1" spans="1:8" x14ac:dyDescent="0.25">
      <c r="A248" s="6">
        <v>46269</v>
      </c>
      <c r="B248" t="s">
        <v>17</v>
      </c>
      <c r="G248" s="7">
        <f t="shared" si="6"/>
        <v>0</v>
      </c>
      <c r="H248" s="8">
        <f t="shared" si="7"/>
        <v>0</v>
      </c>
    </row>
    <row r="249" ht="15.75" customHeight="1" spans="1:8" x14ac:dyDescent="0.25">
      <c r="A249" s="6">
        <v>46270</v>
      </c>
      <c r="B249" t="s">
        <v>18</v>
      </c>
      <c r="G249" s="7">
        <f t="shared" si="6"/>
        <v>0</v>
      </c>
      <c r="H249" s="8">
        <f t="shared" si="7"/>
        <v>0</v>
      </c>
    </row>
    <row r="250" ht="15.75" customHeight="1" spans="1:8" x14ac:dyDescent="0.25">
      <c r="A250" s="6">
        <v>46271</v>
      </c>
      <c r="B250" t="s">
        <v>19</v>
      </c>
      <c r="G250" s="7">
        <f t="shared" si="6"/>
        <v>0</v>
      </c>
      <c r="H250" s="8">
        <f t="shared" si="7"/>
        <v>0</v>
      </c>
    </row>
    <row r="251" ht="15.75" customHeight="1" spans="1:8" x14ac:dyDescent="0.25">
      <c r="A251" s="6">
        <v>46272</v>
      </c>
      <c r="B251" t="s">
        <v>20</v>
      </c>
      <c r="G251" s="7">
        <f t="shared" si="6"/>
        <v>0</v>
      </c>
      <c r="H251" s="8">
        <f t="shared" si="7"/>
        <v>0</v>
      </c>
    </row>
    <row r="252" ht="15.75" customHeight="1" spans="1:8" x14ac:dyDescent="0.25">
      <c r="A252" s="6">
        <v>46273</v>
      </c>
      <c r="B252" t="s">
        <v>21</v>
      </c>
      <c r="G252" s="7">
        <f t="shared" si="6"/>
        <v>0</v>
      </c>
      <c r="H252" s="8">
        <f t="shared" si="7"/>
        <v>0</v>
      </c>
    </row>
    <row r="253" ht="15.75" customHeight="1" spans="1:8" x14ac:dyDescent="0.25">
      <c r="A253" s="6">
        <v>46274</v>
      </c>
      <c r="B253" t="s">
        <v>24</v>
      </c>
      <c r="G253" s="7">
        <f t="shared" si="6"/>
        <v>0</v>
      </c>
      <c r="H253" s="8">
        <f t="shared" si="7"/>
        <v>0</v>
      </c>
    </row>
    <row r="254" ht="15.75" customHeight="1" spans="1:8" x14ac:dyDescent="0.25">
      <c r="A254" s="6">
        <v>46275</v>
      </c>
      <c r="B254" t="s">
        <v>15</v>
      </c>
      <c r="G254" s="7">
        <f t="shared" si="6"/>
        <v>0</v>
      </c>
      <c r="H254" s="8">
        <f t="shared" si="7"/>
        <v>0</v>
      </c>
    </row>
    <row r="255" ht="15.75" customHeight="1" spans="1:8" x14ac:dyDescent="0.25">
      <c r="A255" s="6">
        <v>46276</v>
      </c>
      <c r="B255" t="s">
        <v>17</v>
      </c>
      <c r="G255" s="7">
        <f t="shared" si="6"/>
        <v>0</v>
      </c>
      <c r="H255" s="8">
        <f t="shared" si="7"/>
        <v>0</v>
      </c>
    </row>
    <row r="256" ht="15.75" customHeight="1" spans="1:8" x14ac:dyDescent="0.25">
      <c r="A256" s="6">
        <v>46277</v>
      </c>
      <c r="B256" t="s">
        <v>18</v>
      </c>
      <c r="G256" s="7">
        <f t="shared" si="6"/>
        <v>0</v>
      </c>
      <c r="H256" s="8">
        <f t="shared" si="7"/>
        <v>0</v>
      </c>
    </row>
    <row r="257" ht="15.75" customHeight="1" spans="1:8" x14ac:dyDescent="0.25">
      <c r="A257" s="6">
        <v>46278</v>
      </c>
      <c r="B257" t="s">
        <v>19</v>
      </c>
      <c r="G257" s="7">
        <f t="shared" si="6"/>
        <v>0</v>
      </c>
      <c r="H257" s="8">
        <f t="shared" si="7"/>
        <v>0</v>
      </c>
    </row>
    <row r="258" ht="15.75" customHeight="1" spans="1:8" x14ac:dyDescent="0.25">
      <c r="A258" s="6">
        <v>46279</v>
      </c>
      <c r="B258" t="s">
        <v>20</v>
      </c>
      <c r="G258" s="7">
        <f t="shared" ref="G258:G321" si="8">IF(AND(C258&lt;&gt;"",D258&lt;&gt;""),(D258-C258),0)+IF(AND(E258&lt;&gt;"",F258&lt;&gt;""),(F258-E258),0)</f>
        <v>0</v>
      </c>
      <c r="H258" s="8">
        <f t="shared" si="7"/>
        <v>0</v>
      </c>
    </row>
    <row r="259" ht="15.75" customHeight="1" spans="1:8" x14ac:dyDescent="0.25">
      <c r="A259" s="6">
        <v>46280</v>
      </c>
      <c r="B259" t="s">
        <v>21</v>
      </c>
      <c r="G259" s="7">
        <f t="shared" si="8"/>
        <v>0</v>
      </c>
      <c r="H259" s="8">
        <f t="shared" ref="H259:H322" si="9">(G259*24)*$I$2</f>
        <v>0</v>
      </c>
    </row>
    <row r="260" ht="15.75" customHeight="1" spans="1:8" x14ac:dyDescent="0.25">
      <c r="A260" s="6">
        <v>46281</v>
      </c>
      <c r="B260" t="s">
        <v>24</v>
      </c>
      <c r="G260" s="7">
        <f t="shared" si="8"/>
        <v>0</v>
      </c>
      <c r="H260" s="8">
        <f t="shared" si="9"/>
        <v>0</v>
      </c>
    </row>
    <row r="261" ht="15.75" customHeight="1" spans="1:8" x14ac:dyDescent="0.25">
      <c r="A261" s="6">
        <v>46282</v>
      </c>
      <c r="B261" t="s">
        <v>15</v>
      </c>
      <c r="G261" s="7">
        <f t="shared" si="8"/>
        <v>0</v>
      </c>
      <c r="H261" s="8">
        <f t="shared" si="9"/>
        <v>0</v>
      </c>
    </row>
    <row r="262" ht="15.75" customHeight="1" spans="1:8" x14ac:dyDescent="0.25">
      <c r="A262" s="6">
        <v>46283</v>
      </c>
      <c r="B262" t="s">
        <v>17</v>
      </c>
      <c r="G262" s="7">
        <f t="shared" si="8"/>
        <v>0</v>
      </c>
      <c r="H262" s="8">
        <f t="shared" si="9"/>
        <v>0</v>
      </c>
    </row>
    <row r="263" ht="15.75" customHeight="1" spans="1:8" x14ac:dyDescent="0.25">
      <c r="A263" s="6">
        <v>46284</v>
      </c>
      <c r="B263" t="s">
        <v>18</v>
      </c>
      <c r="G263" s="7">
        <f t="shared" si="8"/>
        <v>0</v>
      </c>
      <c r="H263" s="8">
        <f t="shared" si="9"/>
        <v>0</v>
      </c>
    </row>
    <row r="264" ht="15.75" customHeight="1" spans="1:8" x14ac:dyDescent="0.25">
      <c r="A264" s="6">
        <v>46285</v>
      </c>
      <c r="B264" t="s">
        <v>19</v>
      </c>
      <c r="G264" s="7">
        <f t="shared" si="8"/>
        <v>0</v>
      </c>
      <c r="H264" s="8">
        <f t="shared" si="9"/>
        <v>0</v>
      </c>
    </row>
    <row r="265" ht="15.75" customHeight="1" spans="1:8" x14ac:dyDescent="0.25">
      <c r="A265" s="6">
        <v>46286</v>
      </c>
      <c r="B265" t="s">
        <v>20</v>
      </c>
      <c r="G265" s="7">
        <f t="shared" si="8"/>
        <v>0</v>
      </c>
      <c r="H265" s="8">
        <f t="shared" si="9"/>
        <v>0</v>
      </c>
    </row>
    <row r="266" ht="15.75" customHeight="1" spans="1:8" x14ac:dyDescent="0.25">
      <c r="A266" s="6">
        <v>46287</v>
      </c>
      <c r="B266" t="s">
        <v>21</v>
      </c>
      <c r="G266" s="7">
        <f t="shared" si="8"/>
        <v>0</v>
      </c>
      <c r="H266" s="8">
        <f t="shared" si="9"/>
        <v>0</v>
      </c>
    </row>
    <row r="267" ht="15.75" customHeight="1" spans="1:8" x14ac:dyDescent="0.25">
      <c r="A267" s="6">
        <v>46288</v>
      </c>
      <c r="B267" t="s">
        <v>24</v>
      </c>
      <c r="G267" s="7">
        <f t="shared" si="8"/>
        <v>0</v>
      </c>
      <c r="H267" s="8">
        <f t="shared" si="9"/>
        <v>0</v>
      </c>
    </row>
    <row r="268" ht="15.75" customHeight="1" spans="1:8" x14ac:dyDescent="0.25">
      <c r="A268" s="6">
        <v>46289</v>
      </c>
      <c r="B268" t="s">
        <v>15</v>
      </c>
      <c r="G268" s="7">
        <f t="shared" si="8"/>
        <v>0</v>
      </c>
      <c r="H268" s="8">
        <f t="shared" si="9"/>
        <v>0</v>
      </c>
    </row>
    <row r="269" ht="15.75" customHeight="1" spans="1:8" x14ac:dyDescent="0.25">
      <c r="A269" s="6">
        <v>46290</v>
      </c>
      <c r="B269" t="s">
        <v>17</v>
      </c>
      <c r="G269" s="7">
        <f t="shared" si="8"/>
        <v>0</v>
      </c>
      <c r="H269" s="8">
        <f t="shared" si="9"/>
        <v>0</v>
      </c>
    </row>
    <row r="270" ht="15.75" customHeight="1" spans="1:8" x14ac:dyDescent="0.25">
      <c r="A270" s="6">
        <v>46291</v>
      </c>
      <c r="B270" t="s">
        <v>18</v>
      </c>
      <c r="G270" s="7">
        <f t="shared" si="8"/>
        <v>0</v>
      </c>
      <c r="H270" s="8">
        <f t="shared" si="9"/>
        <v>0</v>
      </c>
    </row>
    <row r="271" ht="15.75" customHeight="1" spans="1:8" x14ac:dyDescent="0.25">
      <c r="A271" s="6">
        <v>46292</v>
      </c>
      <c r="B271" t="s">
        <v>19</v>
      </c>
      <c r="G271" s="7">
        <f t="shared" si="8"/>
        <v>0</v>
      </c>
      <c r="H271" s="8">
        <f t="shared" si="9"/>
        <v>0</v>
      </c>
    </row>
    <row r="272" ht="15.75" customHeight="1" spans="1:8" x14ac:dyDescent="0.25">
      <c r="A272" s="6">
        <v>46293</v>
      </c>
      <c r="B272" t="s">
        <v>20</v>
      </c>
      <c r="G272" s="7">
        <f t="shared" si="8"/>
        <v>0</v>
      </c>
      <c r="H272" s="8">
        <f t="shared" si="9"/>
        <v>0</v>
      </c>
    </row>
    <row r="273" ht="15.75" customHeight="1" spans="1:8" x14ac:dyDescent="0.25">
      <c r="A273" s="6">
        <v>46294</v>
      </c>
      <c r="B273" t="s">
        <v>21</v>
      </c>
      <c r="G273" s="7">
        <f t="shared" si="8"/>
        <v>0</v>
      </c>
      <c r="H273" s="8">
        <f t="shared" si="9"/>
        <v>0</v>
      </c>
    </row>
    <row r="274" ht="15.75" customHeight="1" spans="1:8" x14ac:dyDescent="0.25">
      <c r="A274" s="6">
        <v>46295</v>
      </c>
      <c r="B274" t="s">
        <v>24</v>
      </c>
      <c r="G274" s="7">
        <f t="shared" si="8"/>
        <v>0</v>
      </c>
      <c r="H274" s="8">
        <f t="shared" si="9"/>
        <v>0</v>
      </c>
    </row>
    <row r="275" ht="15.75" customHeight="1" spans="1:8" x14ac:dyDescent="0.25">
      <c r="A275" s="6">
        <v>46296</v>
      </c>
      <c r="B275" t="s">
        <v>15</v>
      </c>
      <c r="G275" s="7">
        <f t="shared" si="8"/>
        <v>0</v>
      </c>
      <c r="H275" s="8">
        <f t="shared" si="9"/>
        <v>0</v>
      </c>
    </row>
    <row r="276" ht="15.75" customHeight="1" spans="1:8" x14ac:dyDescent="0.25">
      <c r="A276" s="6">
        <v>46297</v>
      </c>
      <c r="B276" t="s">
        <v>17</v>
      </c>
      <c r="G276" s="7">
        <f t="shared" si="8"/>
        <v>0</v>
      </c>
      <c r="H276" s="8">
        <f t="shared" si="9"/>
        <v>0</v>
      </c>
    </row>
    <row r="277" ht="15.75" customHeight="1" spans="1:8" x14ac:dyDescent="0.25">
      <c r="A277" s="6">
        <v>46298</v>
      </c>
      <c r="B277" t="s">
        <v>18</v>
      </c>
      <c r="G277" s="7">
        <f t="shared" si="8"/>
        <v>0</v>
      </c>
      <c r="H277" s="8">
        <f t="shared" si="9"/>
        <v>0</v>
      </c>
    </row>
    <row r="278" ht="15.75" customHeight="1" spans="1:8" x14ac:dyDescent="0.25">
      <c r="A278" s="6">
        <v>46299</v>
      </c>
      <c r="B278" t="s">
        <v>19</v>
      </c>
      <c r="G278" s="7">
        <f t="shared" si="8"/>
        <v>0</v>
      </c>
      <c r="H278" s="8">
        <f t="shared" si="9"/>
        <v>0</v>
      </c>
    </row>
    <row r="279" ht="15.75" customHeight="1" spans="1:8" x14ac:dyDescent="0.25">
      <c r="A279" s="6">
        <v>46300</v>
      </c>
      <c r="B279" t="s">
        <v>20</v>
      </c>
      <c r="G279" s="7">
        <f t="shared" si="8"/>
        <v>0</v>
      </c>
      <c r="H279" s="8">
        <f t="shared" si="9"/>
        <v>0</v>
      </c>
    </row>
    <row r="280" ht="15.75" customHeight="1" spans="1:8" x14ac:dyDescent="0.25">
      <c r="A280" s="6">
        <v>46301</v>
      </c>
      <c r="B280" t="s">
        <v>21</v>
      </c>
      <c r="G280" s="7">
        <f t="shared" si="8"/>
        <v>0</v>
      </c>
      <c r="H280" s="8">
        <f t="shared" si="9"/>
        <v>0</v>
      </c>
    </row>
    <row r="281" ht="15.75" customHeight="1" spans="1:8" x14ac:dyDescent="0.25">
      <c r="A281" s="6">
        <v>46302</v>
      </c>
      <c r="B281" t="s">
        <v>24</v>
      </c>
      <c r="G281" s="7">
        <f t="shared" si="8"/>
        <v>0</v>
      </c>
      <c r="H281" s="8">
        <f t="shared" si="9"/>
        <v>0</v>
      </c>
    </row>
    <row r="282" ht="15.75" customHeight="1" spans="1:8" x14ac:dyDescent="0.25">
      <c r="A282" s="6">
        <v>46303</v>
      </c>
      <c r="B282" t="s">
        <v>15</v>
      </c>
      <c r="G282" s="7">
        <f t="shared" si="8"/>
        <v>0</v>
      </c>
      <c r="H282" s="8">
        <f t="shared" si="9"/>
        <v>0</v>
      </c>
    </row>
    <row r="283" ht="15.75" customHeight="1" spans="1:8" x14ac:dyDescent="0.25">
      <c r="A283" s="6">
        <v>46304</v>
      </c>
      <c r="B283" t="s">
        <v>17</v>
      </c>
      <c r="G283" s="7">
        <f t="shared" si="8"/>
        <v>0</v>
      </c>
      <c r="H283" s="8">
        <f t="shared" si="9"/>
        <v>0</v>
      </c>
    </row>
    <row r="284" ht="15.75" customHeight="1" spans="1:8" x14ac:dyDescent="0.25">
      <c r="A284" s="6">
        <v>46305</v>
      </c>
      <c r="B284" t="s">
        <v>18</v>
      </c>
      <c r="G284" s="7">
        <f t="shared" si="8"/>
        <v>0</v>
      </c>
      <c r="H284" s="8">
        <f t="shared" si="9"/>
        <v>0</v>
      </c>
    </row>
    <row r="285" ht="15.75" customHeight="1" spans="1:8" x14ac:dyDescent="0.25">
      <c r="A285" s="6">
        <v>46306</v>
      </c>
      <c r="B285" t="s">
        <v>19</v>
      </c>
      <c r="G285" s="7">
        <f t="shared" si="8"/>
        <v>0</v>
      </c>
      <c r="H285" s="8">
        <f t="shared" si="9"/>
        <v>0</v>
      </c>
    </row>
    <row r="286" ht="15.75" customHeight="1" spans="1:8" x14ac:dyDescent="0.25">
      <c r="A286" s="6">
        <v>46307</v>
      </c>
      <c r="B286" t="s">
        <v>20</v>
      </c>
      <c r="G286" s="7">
        <f t="shared" si="8"/>
        <v>0</v>
      </c>
      <c r="H286" s="8">
        <f t="shared" si="9"/>
        <v>0</v>
      </c>
    </row>
    <row r="287" ht="15.75" customHeight="1" spans="1:8" x14ac:dyDescent="0.25">
      <c r="A287" s="6">
        <v>46308</v>
      </c>
      <c r="B287" t="s">
        <v>21</v>
      </c>
      <c r="G287" s="7">
        <f t="shared" si="8"/>
        <v>0</v>
      </c>
      <c r="H287" s="8">
        <f t="shared" si="9"/>
        <v>0</v>
      </c>
    </row>
    <row r="288" ht="15.75" customHeight="1" spans="1:8" x14ac:dyDescent="0.25">
      <c r="A288" s="6">
        <v>46309</v>
      </c>
      <c r="B288" t="s">
        <v>24</v>
      </c>
      <c r="G288" s="7">
        <f t="shared" si="8"/>
        <v>0</v>
      </c>
      <c r="H288" s="8">
        <f t="shared" si="9"/>
        <v>0</v>
      </c>
    </row>
    <row r="289" ht="15.75" customHeight="1" spans="1:8" x14ac:dyDescent="0.25">
      <c r="A289" s="6">
        <v>46310</v>
      </c>
      <c r="B289" t="s">
        <v>15</v>
      </c>
      <c r="G289" s="7">
        <f t="shared" si="8"/>
        <v>0</v>
      </c>
      <c r="H289" s="8">
        <f t="shared" si="9"/>
        <v>0</v>
      </c>
    </row>
    <row r="290" ht="15.75" customHeight="1" spans="1:8" x14ac:dyDescent="0.25">
      <c r="A290" s="6">
        <v>46311</v>
      </c>
      <c r="B290" t="s">
        <v>17</v>
      </c>
      <c r="G290" s="7">
        <f t="shared" si="8"/>
        <v>0</v>
      </c>
      <c r="H290" s="8">
        <f t="shared" si="9"/>
        <v>0</v>
      </c>
    </row>
    <row r="291" ht="15.75" customHeight="1" spans="1:8" x14ac:dyDescent="0.25">
      <c r="A291" s="6">
        <v>46312</v>
      </c>
      <c r="B291" t="s">
        <v>18</v>
      </c>
      <c r="G291" s="7">
        <f t="shared" si="8"/>
        <v>0</v>
      </c>
      <c r="H291" s="8">
        <f t="shared" si="9"/>
        <v>0</v>
      </c>
    </row>
    <row r="292" ht="15.75" customHeight="1" spans="1:8" x14ac:dyDescent="0.25">
      <c r="A292" s="6">
        <v>46313</v>
      </c>
      <c r="B292" t="s">
        <v>19</v>
      </c>
      <c r="G292" s="7">
        <f t="shared" si="8"/>
        <v>0</v>
      </c>
      <c r="H292" s="8">
        <f t="shared" si="9"/>
        <v>0</v>
      </c>
    </row>
    <row r="293" ht="15.75" customHeight="1" spans="1:8" x14ac:dyDescent="0.25">
      <c r="A293" s="6">
        <v>46314</v>
      </c>
      <c r="B293" t="s">
        <v>20</v>
      </c>
      <c r="G293" s="7">
        <f t="shared" si="8"/>
        <v>0</v>
      </c>
      <c r="H293" s="8">
        <f t="shared" si="9"/>
        <v>0</v>
      </c>
    </row>
    <row r="294" ht="15.75" customHeight="1" spans="1:8" x14ac:dyDescent="0.25">
      <c r="A294" s="6">
        <v>46315</v>
      </c>
      <c r="B294" t="s">
        <v>21</v>
      </c>
      <c r="G294" s="7">
        <f t="shared" si="8"/>
        <v>0</v>
      </c>
      <c r="H294" s="8">
        <f t="shared" si="9"/>
        <v>0</v>
      </c>
    </row>
    <row r="295" ht="15.75" customHeight="1" spans="1:8" x14ac:dyDescent="0.25">
      <c r="A295" s="6">
        <v>46316</v>
      </c>
      <c r="B295" t="s">
        <v>24</v>
      </c>
      <c r="G295" s="7">
        <f t="shared" si="8"/>
        <v>0</v>
      </c>
      <c r="H295" s="8">
        <f t="shared" si="9"/>
        <v>0</v>
      </c>
    </row>
    <row r="296" ht="15.75" customHeight="1" spans="1:8" x14ac:dyDescent="0.25">
      <c r="A296" s="6">
        <v>46317</v>
      </c>
      <c r="B296" t="s">
        <v>15</v>
      </c>
      <c r="G296" s="7">
        <f t="shared" si="8"/>
        <v>0</v>
      </c>
      <c r="H296" s="8">
        <f t="shared" si="9"/>
        <v>0</v>
      </c>
    </row>
    <row r="297" ht="15.75" customHeight="1" spans="1:8" x14ac:dyDescent="0.25">
      <c r="A297" s="6">
        <v>46318</v>
      </c>
      <c r="B297" t="s">
        <v>17</v>
      </c>
      <c r="G297" s="7">
        <f t="shared" si="8"/>
        <v>0</v>
      </c>
      <c r="H297" s="8">
        <f t="shared" si="9"/>
        <v>0</v>
      </c>
    </row>
    <row r="298" ht="15.75" customHeight="1" spans="1:8" x14ac:dyDescent="0.25">
      <c r="A298" s="6">
        <v>46319</v>
      </c>
      <c r="B298" t="s">
        <v>18</v>
      </c>
      <c r="G298" s="7">
        <f t="shared" si="8"/>
        <v>0</v>
      </c>
      <c r="H298" s="8">
        <f t="shared" si="9"/>
        <v>0</v>
      </c>
    </row>
    <row r="299" ht="15.75" customHeight="1" spans="1:8" x14ac:dyDescent="0.25">
      <c r="A299" s="6">
        <v>46320</v>
      </c>
      <c r="B299" t="s">
        <v>19</v>
      </c>
      <c r="G299" s="7">
        <f t="shared" si="8"/>
        <v>0</v>
      </c>
      <c r="H299" s="8">
        <f t="shared" si="9"/>
        <v>0</v>
      </c>
    </row>
    <row r="300" ht="15.75" customHeight="1" spans="1:8" x14ac:dyDescent="0.25">
      <c r="A300" s="6">
        <v>46321</v>
      </c>
      <c r="B300" t="s">
        <v>20</v>
      </c>
      <c r="G300" s="7">
        <f t="shared" si="8"/>
        <v>0</v>
      </c>
      <c r="H300" s="8">
        <f t="shared" si="9"/>
        <v>0</v>
      </c>
    </row>
    <row r="301" ht="15.75" customHeight="1" spans="1:8" x14ac:dyDescent="0.25">
      <c r="A301" s="6">
        <v>46322</v>
      </c>
      <c r="B301" t="s">
        <v>21</v>
      </c>
      <c r="G301" s="7">
        <f t="shared" si="8"/>
        <v>0</v>
      </c>
      <c r="H301" s="8">
        <f t="shared" si="9"/>
        <v>0</v>
      </c>
    </row>
    <row r="302" ht="15.75" customHeight="1" spans="1:8" x14ac:dyDescent="0.25">
      <c r="A302" s="6">
        <v>46323</v>
      </c>
      <c r="B302" t="s">
        <v>24</v>
      </c>
      <c r="G302" s="7">
        <f t="shared" si="8"/>
        <v>0</v>
      </c>
      <c r="H302" s="8">
        <f t="shared" si="9"/>
        <v>0</v>
      </c>
    </row>
    <row r="303" ht="15.75" customHeight="1" spans="1:8" x14ac:dyDescent="0.25">
      <c r="A303" s="6">
        <v>46324</v>
      </c>
      <c r="B303" t="s">
        <v>15</v>
      </c>
      <c r="G303" s="7">
        <f t="shared" si="8"/>
        <v>0</v>
      </c>
      <c r="H303" s="8">
        <f t="shared" si="9"/>
        <v>0</v>
      </c>
    </row>
    <row r="304" ht="15.75" customHeight="1" spans="1:8" x14ac:dyDescent="0.25">
      <c r="A304" s="6">
        <v>46325</v>
      </c>
      <c r="B304" t="s">
        <v>17</v>
      </c>
      <c r="G304" s="7">
        <f t="shared" si="8"/>
        <v>0</v>
      </c>
      <c r="H304" s="8">
        <f t="shared" si="9"/>
        <v>0</v>
      </c>
    </row>
    <row r="305" ht="15.75" customHeight="1" spans="1:8" x14ac:dyDescent="0.25">
      <c r="A305" s="6">
        <v>46326</v>
      </c>
      <c r="B305" t="s">
        <v>18</v>
      </c>
      <c r="G305" s="7">
        <f t="shared" si="8"/>
        <v>0</v>
      </c>
      <c r="H305" s="8">
        <f t="shared" si="9"/>
        <v>0</v>
      </c>
    </row>
    <row r="306" ht="15.75" customHeight="1" spans="1:8" x14ac:dyDescent="0.25">
      <c r="A306" s="6">
        <v>46327</v>
      </c>
      <c r="B306" t="s">
        <v>19</v>
      </c>
      <c r="G306" s="7">
        <f t="shared" si="8"/>
        <v>0</v>
      </c>
      <c r="H306" s="8">
        <f t="shared" si="9"/>
        <v>0</v>
      </c>
    </row>
    <row r="307" ht="15.75" customHeight="1" spans="1:8" x14ac:dyDescent="0.25">
      <c r="A307" s="6">
        <v>46328</v>
      </c>
      <c r="B307" t="s">
        <v>20</v>
      </c>
      <c r="G307" s="7">
        <f t="shared" si="8"/>
        <v>0</v>
      </c>
      <c r="H307" s="8">
        <f t="shared" si="9"/>
        <v>0</v>
      </c>
    </row>
    <row r="308" ht="15.75" customHeight="1" spans="1:8" x14ac:dyDescent="0.25">
      <c r="A308" s="6">
        <v>46329</v>
      </c>
      <c r="B308" t="s">
        <v>21</v>
      </c>
      <c r="G308" s="7">
        <f t="shared" si="8"/>
        <v>0</v>
      </c>
      <c r="H308" s="8">
        <f t="shared" si="9"/>
        <v>0</v>
      </c>
    </row>
    <row r="309" ht="15.75" customHeight="1" spans="1:8" x14ac:dyDescent="0.25">
      <c r="A309" s="6">
        <v>46330</v>
      </c>
      <c r="B309" t="s">
        <v>24</v>
      </c>
      <c r="G309" s="7">
        <f t="shared" si="8"/>
        <v>0</v>
      </c>
      <c r="H309" s="8">
        <f t="shared" si="9"/>
        <v>0</v>
      </c>
    </row>
    <row r="310" ht="15.75" customHeight="1" spans="1:8" x14ac:dyDescent="0.25">
      <c r="A310" s="6">
        <v>46331</v>
      </c>
      <c r="B310" t="s">
        <v>15</v>
      </c>
      <c r="G310" s="7">
        <f t="shared" si="8"/>
        <v>0</v>
      </c>
      <c r="H310" s="8">
        <f t="shared" si="9"/>
        <v>0</v>
      </c>
    </row>
    <row r="311" ht="15.75" customHeight="1" spans="1:8" x14ac:dyDescent="0.25">
      <c r="A311" s="6">
        <v>46332</v>
      </c>
      <c r="B311" t="s">
        <v>17</v>
      </c>
      <c r="G311" s="7">
        <f t="shared" si="8"/>
        <v>0</v>
      </c>
      <c r="H311" s="8">
        <f t="shared" si="9"/>
        <v>0</v>
      </c>
    </row>
    <row r="312" ht="15.75" customHeight="1" spans="1:8" x14ac:dyDescent="0.25">
      <c r="A312" s="6">
        <v>46333</v>
      </c>
      <c r="B312" t="s">
        <v>18</v>
      </c>
      <c r="G312" s="7">
        <f t="shared" si="8"/>
        <v>0</v>
      </c>
      <c r="H312" s="8">
        <f t="shared" si="9"/>
        <v>0</v>
      </c>
    </row>
    <row r="313" ht="15.75" customHeight="1" spans="1:8" x14ac:dyDescent="0.25">
      <c r="A313" s="6">
        <v>46334</v>
      </c>
      <c r="B313" t="s">
        <v>19</v>
      </c>
      <c r="G313" s="7">
        <f t="shared" si="8"/>
        <v>0</v>
      </c>
      <c r="H313" s="8">
        <f t="shared" si="9"/>
        <v>0</v>
      </c>
    </row>
    <row r="314" ht="15.75" customHeight="1" spans="1:8" x14ac:dyDescent="0.25">
      <c r="A314" s="6">
        <v>46335</v>
      </c>
      <c r="B314" t="s">
        <v>20</v>
      </c>
      <c r="G314" s="7">
        <f t="shared" si="8"/>
        <v>0</v>
      </c>
      <c r="H314" s="8">
        <f t="shared" si="9"/>
        <v>0</v>
      </c>
    </row>
    <row r="315" ht="15.75" customHeight="1" spans="1:8" x14ac:dyDescent="0.25">
      <c r="A315" s="6">
        <v>46336</v>
      </c>
      <c r="B315" t="s">
        <v>21</v>
      </c>
      <c r="G315" s="7">
        <f t="shared" si="8"/>
        <v>0</v>
      </c>
      <c r="H315" s="8">
        <f t="shared" si="9"/>
        <v>0</v>
      </c>
    </row>
    <row r="316" ht="15.75" customHeight="1" spans="1:8" x14ac:dyDescent="0.25">
      <c r="A316" s="6">
        <v>46337</v>
      </c>
      <c r="B316" t="s">
        <v>24</v>
      </c>
      <c r="G316" s="7">
        <f t="shared" si="8"/>
        <v>0</v>
      </c>
      <c r="H316" s="8">
        <f t="shared" si="9"/>
        <v>0</v>
      </c>
    </row>
    <row r="317" ht="15.75" customHeight="1" spans="1:8" x14ac:dyDescent="0.25">
      <c r="A317" s="6">
        <v>46338</v>
      </c>
      <c r="B317" t="s">
        <v>15</v>
      </c>
      <c r="G317" s="7">
        <f t="shared" si="8"/>
        <v>0</v>
      </c>
      <c r="H317" s="8">
        <f t="shared" si="9"/>
        <v>0</v>
      </c>
    </row>
    <row r="318" ht="15.75" customHeight="1" spans="1:8" x14ac:dyDescent="0.25">
      <c r="A318" s="6">
        <v>46339</v>
      </c>
      <c r="B318" t="s">
        <v>17</v>
      </c>
      <c r="G318" s="7">
        <f t="shared" si="8"/>
        <v>0</v>
      </c>
      <c r="H318" s="8">
        <f t="shared" si="9"/>
        <v>0</v>
      </c>
    </row>
    <row r="319" ht="15.75" customHeight="1" spans="1:8" x14ac:dyDescent="0.25">
      <c r="A319" s="6">
        <v>46340</v>
      </c>
      <c r="B319" t="s">
        <v>18</v>
      </c>
      <c r="G319" s="7">
        <f t="shared" si="8"/>
        <v>0</v>
      </c>
      <c r="H319" s="8">
        <f t="shared" si="9"/>
        <v>0</v>
      </c>
    </row>
    <row r="320" ht="15.75" customHeight="1" spans="1:8" x14ac:dyDescent="0.25">
      <c r="A320" s="6">
        <v>46341</v>
      </c>
      <c r="B320" t="s">
        <v>19</v>
      </c>
      <c r="G320" s="7">
        <f t="shared" si="8"/>
        <v>0</v>
      </c>
      <c r="H320" s="8">
        <f t="shared" si="9"/>
        <v>0</v>
      </c>
    </row>
    <row r="321" ht="15.75" customHeight="1" spans="1:8" x14ac:dyDescent="0.25">
      <c r="A321" s="6">
        <v>46342</v>
      </c>
      <c r="B321" t="s">
        <v>20</v>
      </c>
      <c r="G321" s="7">
        <f t="shared" si="8"/>
        <v>0</v>
      </c>
      <c r="H321" s="8">
        <f t="shared" si="9"/>
        <v>0</v>
      </c>
    </row>
    <row r="322" ht="15.75" customHeight="1" spans="1:8" x14ac:dyDescent="0.25">
      <c r="A322" s="6">
        <v>46343</v>
      </c>
      <c r="B322" t="s">
        <v>21</v>
      </c>
      <c r="G322" s="7">
        <f t="shared" ref="G322:G385" si="10">IF(AND(C322&lt;&gt;"",D322&lt;&gt;""),(D322-C322),0)+IF(AND(E322&lt;&gt;"",F322&lt;&gt;""),(F322-E322),0)</f>
        <v>0</v>
      </c>
      <c r="H322" s="8">
        <f t="shared" si="9"/>
        <v>0</v>
      </c>
    </row>
    <row r="323" ht="15.75" customHeight="1" spans="1:8" x14ac:dyDescent="0.25">
      <c r="A323" s="6">
        <v>46344</v>
      </c>
      <c r="B323" t="s">
        <v>24</v>
      </c>
      <c r="G323" s="7">
        <f t="shared" si="10"/>
        <v>0</v>
      </c>
      <c r="H323" s="8">
        <f t="shared" ref="H323:H366" si="11">(G323*24)*$I$2</f>
        <v>0</v>
      </c>
    </row>
    <row r="324" ht="15.75" customHeight="1" spans="1:8" x14ac:dyDescent="0.25">
      <c r="A324" s="6">
        <v>46345</v>
      </c>
      <c r="B324" t="s">
        <v>15</v>
      </c>
      <c r="G324" s="7">
        <f t="shared" si="10"/>
        <v>0</v>
      </c>
      <c r="H324" s="8">
        <f t="shared" si="11"/>
        <v>0</v>
      </c>
    </row>
    <row r="325" ht="15.75" customHeight="1" spans="1:8" x14ac:dyDescent="0.25">
      <c r="A325" s="6">
        <v>46346</v>
      </c>
      <c r="B325" t="s">
        <v>17</v>
      </c>
      <c r="G325" s="7">
        <f t="shared" si="10"/>
        <v>0</v>
      </c>
      <c r="H325" s="8">
        <f t="shared" si="11"/>
        <v>0</v>
      </c>
    </row>
    <row r="326" ht="15.75" customHeight="1" spans="1:8" x14ac:dyDescent="0.25">
      <c r="A326" s="6">
        <v>46347</v>
      </c>
      <c r="B326" t="s">
        <v>18</v>
      </c>
      <c r="G326" s="7">
        <f t="shared" si="10"/>
        <v>0</v>
      </c>
      <c r="H326" s="8">
        <f t="shared" si="11"/>
        <v>0</v>
      </c>
    </row>
    <row r="327" ht="15.75" customHeight="1" spans="1:8" x14ac:dyDescent="0.25">
      <c r="A327" s="6">
        <v>46348</v>
      </c>
      <c r="B327" t="s">
        <v>19</v>
      </c>
      <c r="G327" s="7">
        <f t="shared" si="10"/>
        <v>0</v>
      </c>
      <c r="H327" s="8">
        <f t="shared" si="11"/>
        <v>0</v>
      </c>
    </row>
    <row r="328" ht="15.75" customHeight="1" spans="1:8" x14ac:dyDescent="0.25">
      <c r="A328" s="6">
        <v>46349</v>
      </c>
      <c r="B328" t="s">
        <v>20</v>
      </c>
      <c r="G328" s="7">
        <f t="shared" si="10"/>
        <v>0</v>
      </c>
      <c r="H328" s="8">
        <f t="shared" si="11"/>
        <v>0</v>
      </c>
    </row>
    <row r="329" ht="15.75" customHeight="1" spans="1:8" x14ac:dyDescent="0.25">
      <c r="A329" s="6">
        <v>46350</v>
      </c>
      <c r="B329" t="s">
        <v>21</v>
      </c>
      <c r="G329" s="7">
        <f t="shared" si="10"/>
        <v>0</v>
      </c>
      <c r="H329" s="8">
        <f t="shared" si="11"/>
        <v>0</v>
      </c>
    </row>
    <row r="330" ht="15.75" customHeight="1" spans="1:8" x14ac:dyDescent="0.25">
      <c r="A330" s="6">
        <v>46351</v>
      </c>
      <c r="B330" t="s">
        <v>24</v>
      </c>
      <c r="G330" s="7">
        <f t="shared" si="10"/>
        <v>0</v>
      </c>
      <c r="H330" s="8">
        <f t="shared" si="11"/>
        <v>0</v>
      </c>
    </row>
    <row r="331" ht="15.75" customHeight="1" spans="1:8" x14ac:dyDescent="0.25">
      <c r="A331" s="6">
        <v>46352</v>
      </c>
      <c r="B331" t="s">
        <v>15</v>
      </c>
      <c r="G331" s="7">
        <f t="shared" si="10"/>
        <v>0</v>
      </c>
      <c r="H331" s="8">
        <f t="shared" si="11"/>
        <v>0</v>
      </c>
    </row>
    <row r="332" ht="15.75" customHeight="1" spans="1:8" x14ac:dyDescent="0.25">
      <c r="A332" s="6">
        <v>46353</v>
      </c>
      <c r="B332" t="s">
        <v>17</v>
      </c>
      <c r="G332" s="7">
        <f t="shared" si="10"/>
        <v>0</v>
      </c>
      <c r="H332" s="8">
        <f t="shared" si="11"/>
        <v>0</v>
      </c>
    </row>
    <row r="333" ht="15.75" customHeight="1" spans="1:8" x14ac:dyDescent="0.25">
      <c r="A333" s="6">
        <v>46354</v>
      </c>
      <c r="B333" t="s">
        <v>18</v>
      </c>
      <c r="G333" s="7">
        <f t="shared" si="10"/>
        <v>0</v>
      </c>
      <c r="H333" s="8">
        <f t="shared" si="11"/>
        <v>0</v>
      </c>
    </row>
    <row r="334" ht="15.75" customHeight="1" spans="1:8" x14ac:dyDescent="0.25">
      <c r="A334" s="6">
        <v>46355</v>
      </c>
      <c r="B334" t="s">
        <v>19</v>
      </c>
      <c r="G334" s="7">
        <f t="shared" si="10"/>
        <v>0</v>
      </c>
      <c r="H334" s="8">
        <f t="shared" si="11"/>
        <v>0</v>
      </c>
    </row>
    <row r="335" ht="15.75" customHeight="1" spans="1:8" x14ac:dyDescent="0.25">
      <c r="A335" s="6">
        <v>46356</v>
      </c>
      <c r="B335" t="s">
        <v>20</v>
      </c>
      <c r="G335" s="7">
        <f t="shared" si="10"/>
        <v>0</v>
      </c>
      <c r="H335" s="8">
        <f t="shared" si="11"/>
        <v>0</v>
      </c>
    </row>
    <row r="336" ht="15.75" customHeight="1" spans="1:8" x14ac:dyDescent="0.25">
      <c r="A336" s="6">
        <v>46357</v>
      </c>
      <c r="B336" t="s">
        <v>21</v>
      </c>
      <c r="G336" s="7">
        <f t="shared" si="10"/>
        <v>0</v>
      </c>
      <c r="H336" s="8">
        <f t="shared" si="11"/>
        <v>0</v>
      </c>
    </row>
    <row r="337" ht="15.75" customHeight="1" spans="1:8" x14ac:dyDescent="0.25">
      <c r="A337" s="6">
        <v>46358</v>
      </c>
      <c r="B337" t="s">
        <v>24</v>
      </c>
      <c r="G337" s="7">
        <f t="shared" si="10"/>
        <v>0</v>
      </c>
      <c r="H337" s="8">
        <f t="shared" si="11"/>
        <v>0</v>
      </c>
    </row>
    <row r="338" ht="15.75" customHeight="1" spans="1:8" x14ac:dyDescent="0.25">
      <c r="A338" s="6">
        <v>46359</v>
      </c>
      <c r="B338" t="s">
        <v>15</v>
      </c>
      <c r="G338" s="7">
        <f t="shared" si="10"/>
        <v>0</v>
      </c>
      <c r="H338" s="8">
        <f t="shared" si="11"/>
        <v>0</v>
      </c>
    </row>
    <row r="339" ht="15.75" customHeight="1" spans="1:8" x14ac:dyDescent="0.25">
      <c r="A339" s="6">
        <v>46360</v>
      </c>
      <c r="B339" t="s">
        <v>17</v>
      </c>
      <c r="G339" s="7">
        <f t="shared" si="10"/>
        <v>0</v>
      </c>
      <c r="H339" s="8">
        <f t="shared" si="11"/>
        <v>0</v>
      </c>
    </row>
    <row r="340" ht="15.75" customHeight="1" spans="1:8" x14ac:dyDescent="0.25">
      <c r="A340" s="6">
        <v>46361</v>
      </c>
      <c r="B340" t="s">
        <v>18</v>
      </c>
      <c r="G340" s="7">
        <f t="shared" si="10"/>
        <v>0</v>
      </c>
      <c r="H340" s="8">
        <f t="shared" si="11"/>
        <v>0</v>
      </c>
    </row>
    <row r="341" ht="15.75" customHeight="1" spans="1:8" x14ac:dyDescent="0.25">
      <c r="A341" s="6">
        <v>46362</v>
      </c>
      <c r="B341" t="s">
        <v>19</v>
      </c>
      <c r="G341" s="7">
        <f t="shared" si="10"/>
        <v>0</v>
      </c>
      <c r="H341" s="8">
        <f t="shared" si="11"/>
        <v>0</v>
      </c>
    </row>
    <row r="342" ht="15.75" customHeight="1" spans="1:8" x14ac:dyDescent="0.25">
      <c r="A342" s="6">
        <v>46363</v>
      </c>
      <c r="B342" t="s">
        <v>20</v>
      </c>
      <c r="G342" s="7">
        <f t="shared" si="10"/>
        <v>0</v>
      </c>
      <c r="H342" s="8">
        <f t="shared" si="11"/>
        <v>0</v>
      </c>
    </row>
    <row r="343" ht="15.75" customHeight="1" spans="1:8" x14ac:dyDescent="0.25">
      <c r="A343" s="6">
        <v>46364</v>
      </c>
      <c r="B343" t="s">
        <v>21</v>
      </c>
      <c r="G343" s="7">
        <f t="shared" si="10"/>
        <v>0</v>
      </c>
      <c r="H343" s="8">
        <f t="shared" si="11"/>
        <v>0</v>
      </c>
    </row>
    <row r="344" ht="15.75" customHeight="1" spans="1:8" x14ac:dyDescent="0.25">
      <c r="A344" s="6">
        <v>46365</v>
      </c>
      <c r="B344" t="s">
        <v>24</v>
      </c>
      <c r="G344" s="7">
        <f t="shared" si="10"/>
        <v>0</v>
      </c>
      <c r="H344" s="8">
        <f t="shared" si="11"/>
        <v>0</v>
      </c>
    </row>
    <row r="345" ht="15.75" customHeight="1" spans="1:8" x14ac:dyDescent="0.25">
      <c r="A345" s="6">
        <v>46366</v>
      </c>
      <c r="B345" t="s">
        <v>15</v>
      </c>
      <c r="G345" s="7">
        <f t="shared" si="10"/>
        <v>0</v>
      </c>
      <c r="H345" s="8">
        <f t="shared" si="11"/>
        <v>0</v>
      </c>
    </row>
    <row r="346" ht="15.75" customHeight="1" spans="1:8" x14ac:dyDescent="0.25">
      <c r="A346" s="6">
        <v>46367</v>
      </c>
      <c r="B346" t="s">
        <v>17</v>
      </c>
      <c r="G346" s="7">
        <f t="shared" si="10"/>
        <v>0</v>
      </c>
      <c r="H346" s="8">
        <f t="shared" si="11"/>
        <v>0</v>
      </c>
    </row>
    <row r="347" ht="15.75" customHeight="1" spans="1:8" x14ac:dyDescent="0.25">
      <c r="A347" s="6">
        <v>46368</v>
      </c>
      <c r="B347" t="s">
        <v>18</v>
      </c>
      <c r="G347" s="7">
        <f t="shared" si="10"/>
        <v>0</v>
      </c>
      <c r="H347" s="8">
        <f t="shared" si="11"/>
        <v>0</v>
      </c>
    </row>
    <row r="348" ht="15.75" customHeight="1" spans="1:8" x14ac:dyDescent="0.25">
      <c r="A348" s="6">
        <v>46369</v>
      </c>
      <c r="B348" t="s">
        <v>19</v>
      </c>
      <c r="G348" s="7">
        <f t="shared" si="10"/>
        <v>0</v>
      </c>
      <c r="H348" s="8">
        <f t="shared" si="11"/>
        <v>0</v>
      </c>
    </row>
    <row r="349" ht="15.75" customHeight="1" spans="1:8" x14ac:dyDescent="0.25">
      <c r="A349" s="6">
        <v>46370</v>
      </c>
      <c r="B349" t="s">
        <v>20</v>
      </c>
      <c r="G349" s="7">
        <f t="shared" si="10"/>
        <v>0</v>
      </c>
      <c r="H349" s="8">
        <f t="shared" si="11"/>
        <v>0</v>
      </c>
    </row>
    <row r="350" ht="15.75" customHeight="1" spans="1:8" x14ac:dyDescent="0.25">
      <c r="A350" s="6">
        <v>46371</v>
      </c>
      <c r="B350" t="s">
        <v>21</v>
      </c>
      <c r="G350" s="7">
        <f t="shared" si="10"/>
        <v>0</v>
      </c>
      <c r="H350" s="8">
        <f t="shared" si="11"/>
        <v>0</v>
      </c>
    </row>
    <row r="351" ht="15.75" customHeight="1" spans="1:8" x14ac:dyDescent="0.25">
      <c r="A351" s="6">
        <v>46372</v>
      </c>
      <c r="B351" t="s">
        <v>24</v>
      </c>
      <c r="G351" s="7">
        <f t="shared" si="10"/>
        <v>0</v>
      </c>
      <c r="H351" s="8">
        <f t="shared" si="11"/>
        <v>0</v>
      </c>
    </row>
    <row r="352" ht="15.75" customHeight="1" spans="1:8" x14ac:dyDescent="0.25">
      <c r="A352" s="6">
        <v>46373</v>
      </c>
      <c r="B352" t="s">
        <v>15</v>
      </c>
      <c r="G352" s="7">
        <f t="shared" si="10"/>
        <v>0</v>
      </c>
      <c r="H352" s="8">
        <f t="shared" si="11"/>
        <v>0</v>
      </c>
    </row>
    <row r="353" ht="15.75" customHeight="1" spans="1:8" x14ac:dyDescent="0.25">
      <c r="A353" s="6">
        <v>46374</v>
      </c>
      <c r="B353" t="s">
        <v>17</v>
      </c>
      <c r="G353" s="7">
        <f t="shared" si="10"/>
        <v>0</v>
      </c>
      <c r="H353" s="8">
        <f t="shared" si="11"/>
        <v>0</v>
      </c>
    </row>
    <row r="354" ht="15.75" customHeight="1" spans="1:8" x14ac:dyDescent="0.25">
      <c r="A354" s="6">
        <v>46375</v>
      </c>
      <c r="B354" t="s">
        <v>18</v>
      </c>
      <c r="G354" s="7">
        <f t="shared" si="10"/>
        <v>0</v>
      </c>
      <c r="H354" s="8">
        <f t="shared" si="11"/>
        <v>0</v>
      </c>
    </row>
    <row r="355" ht="15.75" customHeight="1" spans="1:8" x14ac:dyDescent="0.25">
      <c r="A355" s="6">
        <v>46376</v>
      </c>
      <c r="B355" t="s">
        <v>19</v>
      </c>
      <c r="G355" s="7">
        <f t="shared" si="10"/>
        <v>0</v>
      </c>
      <c r="H355" s="8">
        <f t="shared" si="11"/>
        <v>0</v>
      </c>
    </row>
    <row r="356" ht="15.75" customHeight="1" spans="1:8" x14ac:dyDescent="0.25">
      <c r="A356" s="6">
        <v>46377</v>
      </c>
      <c r="B356" t="s">
        <v>20</v>
      </c>
      <c r="G356" s="7">
        <f t="shared" si="10"/>
        <v>0</v>
      </c>
      <c r="H356" s="8">
        <f t="shared" si="11"/>
        <v>0</v>
      </c>
    </row>
    <row r="357" ht="15.75" customHeight="1" spans="1:8" x14ac:dyDescent="0.25">
      <c r="A357" s="6">
        <v>46378</v>
      </c>
      <c r="B357" t="s">
        <v>21</v>
      </c>
      <c r="G357" s="7">
        <f t="shared" si="10"/>
        <v>0</v>
      </c>
      <c r="H357" s="8">
        <f t="shared" si="11"/>
        <v>0</v>
      </c>
    </row>
    <row r="358" ht="15.75" customHeight="1" spans="1:8" x14ac:dyDescent="0.25">
      <c r="A358" s="6">
        <v>46379</v>
      </c>
      <c r="B358" t="s">
        <v>24</v>
      </c>
      <c r="G358" s="7">
        <f t="shared" si="10"/>
        <v>0</v>
      </c>
      <c r="H358" s="8">
        <f t="shared" si="11"/>
        <v>0</v>
      </c>
    </row>
    <row r="359" ht="15.75" customHeight="1" spans="1:8" x14ac:dyDescent="0.25">
      <c r="A359" s="6">
        <v>46380</v>
      </c>
      <c r="B359" t="s">
        <v>15</v>
      </c>
      <c r="G359" s="7">
        <f t="shared" si="10"/>
        <v>0</v>
      </c>
      <c r="H359" s="8">
        <f t="shared" si="11"/>
        <v>0</v>
      </c>
    </row>
    <row r="360" ht="15.75" customHeight="1" spans="1:8" x14ac:dyDescent="0.25">
      <c r="A360" s="6">
        <v>46381</v>
      </c>
      <c r="B360" t="s">
        <v>17</v>
      </c>
      <c r="G360" s="7">
        <f t="shared" si="10"/>
        <v>0</v>
      </c>
      <c r="H360" s="8">
        <f t="shared" si="11"/>
        <v>0</v>
      </c>
    </row>
    <row r="361" ht="15.75" customHeight="1" spans="1:8" x14ac:dyDescent="0.25">
      <c r="A361" s="6">
        <v>46382</v>
      </c>
      <c r="B361" t="s">
        <v>18</v>
      </c>
      <c r="G361" s="7">
        <f t="shared" si="10"/>
        <v>0</v>
      </c>
      <c r="H361" s="8">
        <f t="shared" si="11"/>
        <v>0</v>
      </c>
    </row>
    <row r="362" ht="15.75" customHeight="1" spans="1:8" x14ac:dyDescent="0.25">
      <c r="A362" s="6">
        <v>46383</v>
      </c>
      <c r="B362" t="s">
        <v>19</v>
      </c>
      <c r="G362" s="7">
        <f t="shared" si="10"/>
        <v>0</v>
      </c>
      <c r="H362" s="8">
        <f t="shared" si="11"/>
        <v>0</v>
      </c>
    </row>
    <row r="363" ht="15.75" customHeight="1" spans="1:8" x14ac:dyDescent="0.25">
      <c r="A363" s="6">
        <v>46384</v>
      </c>
      <c r="B363" t="s">
        <v>20</v>
      </c>
      <c r="G363" s="7">
        <f t="shared" si="10"/>
        <v>0</v>
      </c>
      <c r="H363" s="8">
        <f t="shared" si="11"/>
        <v>0</v>
      </c>
    </row>
    <row r="364" ht="15.75" customHeight="1" spans="1:8" x14ac:dyDescent="0.25">
      <c r="A364" s="6">
        <v>46385</v>
      </c>
      <c r="B364" t="s">
        <v>21</v>
      </c>
      <c r="G364" s="7">
        <f t="shared" si="10"/>
        <v>0</v>
      </c>
      <c r="H364" s="8">
        <f t="shared" si="11"/>
        <v>0</v>
      </c>
    </row>
    <row r="365" ht="15.75" customHeight="1" spans="1:8" x14ac:dyDescent="0.25">
      <c r="A365" s="6">
        <v>46386</v>
      </c>
      <c r="B365" t="s">
        <v>24</v>
      </c>
      <c r="G365" s="7">
        <f t="shared" si="10"/>
        <v>0</v>
      </c>
      <c r="H365" s="8">
        <f t="shared" si="11"/>
        <v>0</v>
      </c>
    </row>
    <row r="366" ht="15.75" customHeight="1" spans="1:8" x14ac:dyDescent="0.25">
      <c r="A366" s="6">
        <v>46387</v>
      </c>
      <c r="B366" t="s">
        <v>15</v>
      </c>
      <c r="G366" s="7">
        <f t="shared" si="10"/>
        <v>0</v>
      </c>
      <c r="H366" s="8">
        <f t="shared" si="11"/>
        <v>0</v>
      </c>
    </row>
    <row r="367" ht="15.75" customHeight="1" spans="1:1" x14ac:dyDescent="0.25">
      <c r="A367" s="14"/>
    </row>
    <row r="368" ht="15.75" customHeight="1" spans="1:1" x14ac:dyDescent="0.25">
      <c r="A368" s="14"/>
    </row>
    <row r="369" ht="15.75" customHeight="1" spans="1:1" x14ac:dyDescent="0.25">
      <c r="A369" s="14"/>
    </row>
    <row r="370" ht="15.75" customHeight="1" spans="1:1" x14ac:dyDescent="0.25">
      <c r="A370" s="14"/>
    </row>
    <row r="371" ht="15.75" customHeight="1" spans="1:1" x14ac:dyDescent="0.25">
      <c r="A371" s="14"/>
    </row>
    <row r="372" ht="15.75" customHeight="1" spans="1:1" x14ac:dyDescent="0.25">
      <c r="A372" s="14"/>
    </row>
    <row r="373" ht="15.75" customHeight="1" spans="1:1" x14ac:dyDescent="0.25">
      <c r="A373" s="14"/>
    </row>
    <row r="374" ht="15.75" customHeight="1" spans="1:1" x14ac:dyDescent="0.25">
      <c r="A374" s="14"/>
    </row>
    <row r="375" ht="15.75" customHeight="1" spans="1:1" x14ac:dyDescent="0.25">
      <c r="A375" s="14"/>
    </row>
    <row r="376" ht="15.75" customHeight="1" spans="1:1" x14ac:dyDescent="0.25">
      <c r="A376" s="14"/>
    </row>
    <row r="377" ht="15.75" customHeight="1" spans="1:1" x14ac:dyDescent="0.25">
      <c r="A377" s="14"/>
    </row>
    <row r="378" ht="15.75" customHeight="1" spans="1:1" x14ac:dyDescent="0.25">
      <c r="A378" s="14"/>
    </row>
    <row r="379" ht="15.75" customHeight="1" spans="1:1" x14ac:dyDescent="0.25">
      <c r="A379" s="14"/>
    </row>
    <row r="380" ht="15.75" customHeight="1" spans="1:1" x14ac:dyDescent="0.25">
      <c r="A380" s="14"/>
    </row>
    <row r="381" ht="15.75" customHeight="1" spans="1:1" x14ac:dyDescent="0.25">
      <c r="A381" s="14"/>
    </row>
    <row r="382" ht="15.75" customHeight="1" spans="1:1" x14ac:dyDescent="0.25">
      <c r="A382" s="14"/>
    </row>
    <row r="383" ht="15.75" customHeight="1" spans="1:1" x14ac:dyDescent="0.25">
      <c r="A383" s="14"/>
    </row>
    <row r="384" ht="15.75" customHeight="1" spans="1:1" x14ac:dyDescent="0.25">
      <c r="A384" s="14"/>
    </row>
    <row r="385" ht="15.75" customHeight="1" spans="1:1" x14ac:dyDescent="0.25">
      <c r="A385" s="14"/>
    </row>
    <row r="386" ht="15.75" customHeight="1" spans="1:1" x14ac:dyDescent="0.25">
      <c r="A386" s="14"/>
    </row>
    <row r="387" ht="15.75" customHeight="1" spans="1:1" x14ac:dyDescent="0.25">
      <c r="A387" s="14"/>
    </row>
    <row r="388" ht="15.75" customHeight="1" spans="1:1" x14ac:dyDescent="0.25">
      <c r="A388" s="14"/>
    </row>
    <row r="389" ht="15.75" customHeight="1" spans="1:1" x14ac:dyDescent="0.25">
      <c r="A389" s="14"/>
    </row>
    <row r="390" ht="15.75" customHeight="1" spans="1:1" x14ac:dyDescent="0.25">
      <c r="A390" s="14"/>
    </row>
    <row r="391" ht="15.75" customHeight="1" spans="1:1" x14ac:dyDescent="0.25">
      <c r="A391" s="14"/>
    </row>
    <row r="392" ht="15.75" customHeight="1" spans="1:1" x14ac:dyDescent="0.25">
      <c r="A392" s="14"/>
    </row>
    <row r="393" ht="15.75" customHeight="1" spans="1:1" x14ac:dyDescent="0.25">
      <c r="A393" s="14"/>
    </row>
    <row r="394" ht="15.75" customHeight="1" spans="1:1" x14ac:dyDescent="0.25">
      <c r="A394" s="14"/>
    </row>
    <row r="395" ht="15.75" customHeight="1" spans="1:1" x14ac:dyDescent="0.25">
      <c r="A395" s="14"/>
    </row>
    <row r="396" ht="15.75" customHeight="1" spans="1:1" x14ac:dyDescent="0.25">
      <c r="A396" s="14"/>
    </row>
    <row r="397" ht="15.75" customHeight="1" spans="1:1" x14ac:dyDescent="0.25">
      <c r="A397" s="14"/>
    </row>
    <row r="398" ht="15.75" customHeight="1" spans="1:1" x14ac:dyDescent="0.25">
      <c r="A398" s="14"/>
    </row>
    <row r="399" ht="15.75" customHeight="1" spans="1:1" x14ac:dyDescent="0.25">
      <c r="A399" s="14"/>
    </row>
    <row r="400" ht="15.75" customHeight="1" spans="1:1" x14ac:dyDescent="0.25">
      <c r="A400" s="14"/>
    </row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s="21" customFormat="1" x14ac:dyDescent="0.25">
      <c r="A1" s="21" t="s">
        <v>61</v>
      </c>
      <c r="B1" s="21" t="s">
        <v>0</v>
      </c>
      <c r="C1" s="21" t="s">
        <v>62</v>
      </c>
      <c r="D1" s="21" t="s">
        <v>63</v>
      </c>
      <c r="E1" s="21" t="s">
        <v>64</v>
      </c>
      <c r="F1" s="2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FormatPr defaultRowHeight="15" outlineLevelRow="0" outlineLevelCol="0" x14ac:dyDescent="55"/>
  <sheetData>
    <row r="1" spans="1:5" s="21" customFormat="1" x14ac:dyDescent="0.25">
      <c r="A1" s="21" t="s">
        <v>61</v>
      </c>
      <c r="B1" s="21" t="s">
        <v>0</v>
      </c>
      <c r="C1" s="21" t="s">
        <v>66</v>
      </c>
      <c r="D1" s="21" t="s">
        <v>64</v>
      </c>
      <c r="E1" s="21" t="s">
        <v>63</v>
      </c>
    </row>
    <row r="2" spans="1:5" x14ac:dyDescent="0.25">
      <c r="A2" t="s">
        <v>67</v>
      </c>
      <c r="B2" s="22">
        <v>46028</v>
      </c>
      <c r="C2" t="s">
        <v>68</v>
      </c>
      <c r="D2">
        <v>9.8</v>
      </c>
      <c r="E2" t="s">
        <v>69</v>
      </c>
    </row>
    <row r="3" spans="1:5" x14ac:dyDescent="0.25">
      <c r="A3" t="s">
        <v>70</v>
      </c>
      <c r="B3" s="22">
        <v>46029</v>
      </c>
      <c r="C3" t="s">
        <v>71</v>
      </c>
      <c r="D3">
        <v>12.4</v>
      </c>
      <c r="E3" t="s">
        <v>69</v>
      </c>
    </row>
    <row r="4" spans="1:5" x14ac:dyDescent="0.25">
      <c r="A4" t="s">
        <v>72</v>
      </c>
      <c r="B4" s="22">
        <v>46030</v>
      </c>
      <c r="C4" t="s">
        <v>73</v>
      </c>
      <c r="D4">
        <v>10.4</v>
      </c>
      <c r="E4" t="s">
        <v>69</v>
      </c>
    </row>
    <row r="5" spans="1:5" x14ac:dyDescent="0.25">
      <c r="A5" t="s">
        <v>74</v>
      </c>
      <c r="B5" s="22">
        <v>46031</v>
      </c>
      <c r="C5" t="s">
        <v>75</v>
      </c>
      <c r="D5">
        <v>9.4</v>
      </c>
      <c r="E5" t="s">
        <v>69</v>
      </c>
    </row>
    <row r="6" spans="1:5" x14ac:dyDescent="0.25">
      <c r="A6" t="s">
        <v>76</v>
      </c>
      <c r="B6" s="22">
        <v>46032</v>
      </c>
      <c r="C6" t="s">
        <v>77</v>
      </c>
      <c r="D6">
        <v>26.200000000000003</v>
      </c>
      <c r="E6" t="s">
        <v>69</v>
      </c>
    </row>
    <row r="7" spans="1:5" x14ac:dyDescent="0.25">
      <c r="A7" t="s">
        <v>78</v>
      </c>
      <c r="B7" s="22">
        <v>46035</v>
      </c>
      <c r="C7" t="s">
        <v>79</v>
      </c>
      <c r="D7">
        <v>9.4</v>
      </c>
      <c r="E7" t="s">
        <v>69</v>
      </c>
    </row>
    <row r="8" spans="1:5" x14ac:dyDescent="0.25">
      <c r="A8" t="s">
        <v>80</v>
      </c>
      <c r="B8" s="22">
        <v>46036</v>
      </c>
      <c r="C8" t="s">
        <v>81</v>
      </c>
      <c r="D8">
        <v>9.600000000000001</v>
      </c>
      <c r="E8" t="s">
        <v>69</v>
      </c>
    </row>
    <row r="9" spans="1:5" x14ac:dyDescent="0.25">
      <c r="A9" t="s">
        <v>82</v>
      </c>
      <c r="B9" s="22">
        <v>46037</v>
      </c>
      <c r="C9" t="s">
        <v>83</v>
      </c>
      <c r="D9">
        <v>11.8</v>
      </c>
      <c r="E9" t="s">
        <v>69</v>
      </c>
    </row>
    <row r="10" spans="1:5" x14ac:dyDescent="0.25">
      <c r="A10" t="s">
        <v>84</v>
      </c>
      <c r="B10" s="22">
        <v>46038</v>
      </c>
      <c r="C10" t="s">
        <v>85</v>
      </c>
      <c r="D10">
        <v>10.200000000000001</v>
      </c>
      <c r="E10" t="s">
        <v>69</v>
      </c>
    </row>
    <row r="11" spans="1:5" x14ac:dyDescent="0.25">
      <c r="A11" t="s">
        <v>86</v>
      </c>
      <c r="B11" s="22">
        <v>46039</v>
      </c>
      <c r="C11" t="s">
        <v>87</v>
      </c>
      <c r="D11">
        <v>24.32</v>
      </c>
      <c r="E11" t="s">
        <v>69</v>
      </c>
    </row>
    <row r="12" spans="1:5" x14ac:dyDescent="0.25">
      <c r="A12" t="s">
        <v>88</v>
      </c>
      <c r="B12" s="22">
        <v>46042</v>
      </c>
      <c r="C12" t="s">
        <v>89</v>
      </c>
      <c r="D12">
        <v>10</v>
      </c>
      <c r="E12" t="s">
        <v>69</v>
      </c>
    </row>
    <row r="13" spans="1:5" x14ac:dyDescent="0.25">
      <c r="A13" t="s">
        <v>90</v>
      </c>
      <c r="B13" s="22">
        <v>46043</v>
      </c>
      <c r="C13" t="s">
        <v>91</v>
      </c>
      <c r="D13">
        <v>11.8</v>
      </c>
      <c r="E13" t="s">
        <v>69</v>
      </c>
    </row>
    <row r="14" spans="1:5" x14ac:dyDescent="0.25">
      <c r="A14" t="s">
        <v>92</v>
      </c>
      <c r="B14" s="22">
        <v>46044</v>
      </c>
      <c r="C14" t="s">
        <v>93</v>
      </c>
      <c r="D14">
        <v>9.4</v>
      </c>
      <c r="E14" t="s">
        <v>69</v>
      </c>
    </row>
    <row r="15" spans="1:5" x14ac:dyDescent="0.25">
      <c r="A15" t="s">
        <v>94</v>
      </c>
      <c r="B15" s="22">
        <v>46045</v>
      </c>
      <c r="C15" t="s">
        <v>95</v>
      </c>
      <c r="D15">
        <v>10.200000000000001</v>
      </c>
      <c r="E15" t="s">
        <v>69</v>
      </c>
    </row>
    <row r="16" spans="1:5" x14ac:dyDescent="0.25">
      <c r="A16" t="s">
        <v>96</v>
      </c>
      <c r="B16" s="22">
        <v>46046</v>
      </c>
      <c r="C16" t="s">
        <v>97</v>
      </c>
      <c r="D16">
        <v>18.6</v>
      </c>
      <c r="E16" t="s">
        <v>69</v>
      </c>
    </row>
    <row r="17" spans="1:5" x14ac:dyDescent="0.25">
      <c r="A17" t="s">
        <v>98</v>
      </c>
      <c r="B17" s="22">
        <v>46049</v>
      </c>
      <c r="C17" t="s">
        <v>99</v>
      </c>
      <c r="D17">
        <v>16.6</v>
      </c>
      <c r="E17" t="s">
        <v>69</v>
      </c>
    </row>
    <row r="18" spans="1:5" x14ac:dyDescent="0.25">
      <c r="A18" t="s">
        <v>100</v>
      </c>
      <c r="B18" s="22">
        <v>46050</v>
      </c>
      <c r="C18" t="s">
        <v>101</v>
      </c>
      <c r="D18">
        <v>11.200000000000001</v>
      </c>
      <c r="E18" t="s">
        <v>69</v>
      </c>
    </row>
    <row r="19" spans="1:5" x14ac:dyDescent="0.25">
      <c r="A19" t="s">
        <v>102</v>
      </c>
      <c r="B19" s="22">
        <v>46051</v>
      </c>
      <c r="C19" t="s">
        <v>103</v>
      </c>
      <c r="D19">
        <v>10</v>
      </c>
      <c r="E19" t="s">
        <v>69</v>
      </c>
    </row>
    <row r="20" spans="1:5" x14ac:dyDescent="0.25">
      <c r="A20" t="s">
        <v>104</v>
      </c>
      <c r="B20" s="22">
        <v>46052</v>
      </c>
      <c r="C20" t="s">
        <v>105</v>
      </c>
      <c r="D20">
        <v>11.280000000000001</v>
      </c>
      <c r="E20" t="s">
        <v>69</v>
      </c>
    </row>
    <row r="21" spans="1:5" x14ac:dyDescent="0.25">
      <c r="A21" t="s">
        <v>106</v>
      </c>
      <c r="B21" s="22">
        <v>46053</v>
      </c>
      <c r="C21" t="s">
        <v>107</v>
      </c>
      <c r="D21">
        <v>24</v>
      </c>
      <c r="E21" t="s">
        <v>69</v>
      </c>
    </row>
    <row r="22" spans="1:5" x14ac:dyDescent="0.25">
      <c r="A22" t="s">
        <v>108</v>
      </c>
      <c r="B22" s="22">
        <v>46057</v>
      </c>
      <c r="C22" t="s">
        <v>109</v>
      </c>
      <c r="D22">
        <v>8.6</v>
      </c>
      <c r="E22" t="s">
        <v>69</v>
      </c>
    </row>
    <row r="23" spans="1:5" x14ac:dyDescent="0.25">
      <c r="A23" t="s">
        <v>110</v>
      </c>
      <c r="B23" s="22">
        <v>46058</v>
      </c>
      <c r="C23" t="s">
        <v>111</v>
      </c>
      <c r="D23">
        <v>9.4</v>
      </c>
      <c r="E23" t="s">
        <v>69</v>
      </c>
    </row>
    <row r="24" spans="1:5" x14ac:dyDescent="0.25">
      <c r="A24" t="s">
        <v>112</v>
      </c>
      <c r="B24" s="22">
        <v>46059</v>
      </c>
      <c r="C24" t="s">
        <v>113</v>
      </c>
      <c r="D24">
        <v>10.200000000000001</v>
      </c>
      <c r="E24" t="s">
        <v>69</v>
      </c>
    </row>
    <row r="25" spans="1:5" x14ac:dyDescent="0.25">
      <c r="A25" t="s">
        <v>114</v>
      </c>
      <c r="B25" s="22">
        <v>46060</v>
      </c>
      <c r="C25" t="s">
        <v>115</v>
      </c>
      <c r="D25">
        <v>25.400000000000002</v>
      </c>
      <c r="E25" t="s">
        <v>69</v>
      </c>
    </row>
    <row r="26" spans="1:5" x14ac:dyDescent="0.25">
      <c r="A26" t="s">
        <v>116</v>
      </c>
      <c r="B26" s="22">
        <v>46063</v>
      </c>
      <c r="C26" t="s">
        <v>117</v>
      </c>
      <c r="D26">
        <v>11.200000000000001</v>
      </c>
      <c r="E26" t="s">
        <v>69</v>
      </c>
    </row>
    <row r="27" spans="1:5" x14ac:dyDescent="0.25">
      <c r="A27" t="s">
        <v>118</v>
      </c>
      <c r="B27" s="22">
        <v>46064</v>
      </c>
      <c r="C27" t="s">
        <v>119</v>
      </c>
      <c r="D27">
        <v>12.200000000000001</v>
      </c>
      <c r="E27" t="s">
        <v>69</v>
      </c>
    </row>
    <row r="28" spans="1:5" x14ac:dyDescent="0.25">
      <c r="A28" t="s">
        <v>120</v>
      </c>
      <c r="B28" s="22">
        <v>46065</v>
      </c>
      <c r="C28" t="s">
        <v>121</v>
      </c>
      <c r="D28">
        <v>10.600000000000001</v>
      </c>
      <c r="E28" t="s">
        <v>69</v>
      </c>
    </row>
    <row r="29" spans="1:5" x14ac:dyDescent="0.25">
      <c r="A29" t="s">
        <v>122</v>
      </c>
      <c r="B29" s="22">
        <v>46066</v>
      </c>
      <c r="C29" t="s">
        <v>123</v>
      </c>
      <c r="D29">
        <v>10.4</v>
      </c>
      <c r="E29" t="s">
        <v>69</v>
      </c>
    </row>
    <row r="30" spans="1:5" x14ac:dyDescent="0.25">
      <c r="A30" t="s">
        <v>124</v>
      </c>
      <c r="B30" s="22">
        <v>46067</v>
      </c>
      <c r="C30" t="s">
        <v>125</v>
      </c>
      <c r="D30">
        <v>25.400000000000002</v>
      </c>
      <c r="E30" t="s">
        <v>69</v>
      </c>
    </row>
    <row r="31" spans="1:5" x14ac:dyDescent="0.25">
      <c r="A31" t="s">
        <v>126</v>
      </c>
      <c r="B31" s="22">
        <v>46072</v>
      </c>
      <c r="C31" t="s">
        <v>127</v>
      </c>
      <c r="D31">
        <v>9.600000000000001</v>
      </c>
      <c r="E31" t="s">
        <v>69</v>
      </c>
    </row>
    <row r="32" spans="1:5" x14ac:dyDescent="0.25">
      <c r="A32" t="s">
        <v>128</v>
      </c>
      <c r="B32" s="22">
        <v>46073</v>
      </c>
      <c r="C32" t="s">
        <v>129</v>
      </c>
      <c r="D32">
        <v>11</v>
      </c>
      <c r="E32" t="s">
        <v>69</v>
      </c>
    </row>
    <row r="33" spans="1:5" x14ac:dyDescent="0.25">
      <c r="A33" t="s">
        <v>130</v>
      </c>
      <c r="B33" s="22">
        <v>46074</v>
      </c>
      <c r="C33" t="s">
        <v>131</v>
      </c>
      <c r="D33">
        <v>26.200000000000003</v>
      </c>
      <c r="E33" t="s">
        <v>69</v>
      </c>
    </row>
    <row r="34" spans="1:5" x14ac:dyDescent="0.25">
      <c r="A34" t="s">
        <v>132</v>
      </c>
      <c r="B34" s="22">
        <v>46077</v>
      </c>
      <c r="C34" t="s">
        <v>133</v>
      </c>
      <c r="D34">
        <v>15.8</v>
      </c>
      <c r="E34" t="s">
        <v>69</v>
      </c>
    </row>
    <row r="35" spans="1:5" x14ac:dyDescent="0.25">
      <c r="A35" t="s">
        <v>134</v>
      </c>
      <c r="B35" s="22">
        <v>46078</v>
      </c>
      <c r="C35" t="s">
        <v>135</v>
      </c>
      <c r="D35">
        <v>13.4</v>
      </c>
      <c r="E35" t="s">
        <v>69</v>
      </c>
    </row>
    <row r="36" spans="1:5" x14ac:dyDescent="0.25">
      <c r="A36" t="s">
        <v>136</v>
      </c>
      <c r="B36" s="22">
        <v>46079</v>
      </c>
      <c r="C36" t="s">
        <v>137</v>
      </c>
      <c r="D36">
        <v>11.200000000000001</v>
      </c>
      <c r="E36" t="s">
        <v>69</v>
      </c>
    </row>
    <row r="37" spans="1:5" x14ac:dyDescent="0.25">
      <c r="A37" t="s">
        <v>138</v>
      </c>
      <c r="B37" s="22">
        <v>46080</v>
      </c>
      <c r="C37" t="s">
        <v>139</v>
      </c>
      <c r="D37">
        <v>13.64</v>
      </c>
      <c r="E37" t="s">
        <v>69</v>
      </c>
    </row>
    <row r="38" spans="1:5" x14ac:dyDescent="0.25">
      <c r="A38" t="s">
        <v>140</v>
      </c>
      <c r="B38" s="22">
        <v>46081</v>
      </c>
      <c r="C38" t="s">
        <v>141</v>
      </c>
      <c r="D38">
        <v>30</v>
      </c>
      <c r="E38" t="s">
        <v>69</v>
      </c>
    </row>
    <row r="39" spans="1:5" x14ac:dyDescent="0.25">
      <c r="A39" t="s">
        <v>142</v>
      </c>
      <c r="B39" s="22">
        <v>46085</v>
      </c>
      <c r="C39" t="s">
        <v>143</v>
      </c>
      <c r="D39">
        <v>9.200000000000001</v>
      </c>
      <c r="E39" t="s">
        <v>69</v>
      </c>
    </row>
    <row r="40" spans="1:5" x14ac:dyDescent="0.25">
      <c r="A40" t="s">
        <v>144</v>
      </c>
      <c r="B40" s="22">
        <v>46086</v>
      </c>
      <c r="C40" t="s">
        <v>145</v>
      </c>
      <c r="D40">
        <v>9.600000000000001</v>
      </c>
      <c r="E40" t="s">
        <v>69</v>
      </c>
    </row>
    <row r="41" spans="1:5" x14ac:dyDescent="0.25">
      <c r="A41" t="s">
        <v>146</v>
      </c>
      <c r="B41" s="22">
        <v>46087</v>
      </c>
      <c r="C41" t="s">
        <v>147</v>
      </c>
      <c r="D41">
        <v>8.48</v>
      </c>
      <c r="E41" t="s">
        <v>69</v>
      </c>
    </row>
    <row r="42" spans="1:5" x14ac:dyDescent="0.25">
      <c r="A42" t="s">
        <v>148</v>
      </c>
      <c r="B42" s="22">
        <v>46088</v>
      </c>
      <c r="C42" t="s">
        <v>149</v>
      </c>
      <c r="D42">
        <v>26.72</v>
      </c>
      <c r="E42" t="s">
        <v>69</v>
      </c>
    </row>
    <row r="43" spans="1:5" x14ac:dyDescent="0.25">
      <c r="A43" t="s">
        <v>150</v>
      </c>
      <c r="B43" s="22">
        <v>46091</v>
      </c>
      <c r="C43" t="s">
        <v>151</v>
      </c>
      <c r="D43">
        <v>12</v>
      </c>
      <c r="E43" t="s">
        <v>69</v>
      </c>
    </row>
    <row r="44" spans="1:5" x14ac:dyDescent="0.25">
      <c r="A44" t="s">
        <v>152</v>
      </c>
      <c r="B44" s="22">
        <v>46092</v>
      </c>
      <c r="C44" t="s">
        <v>153</v>
      </c>
      <c r="D44">
        <v>11.200000000000001</v>
      </c>
      <c r="E44" t="s">
        <v>69</v>
      </c>
    </row>
    <row r="45" spans="1:5" x14ac:dyDescent="0.25">
      <c r="A45" t="s">
        <v>154</v>
      </c>
      <c r="B45" s="22">
        <v>46093</v>
      </c>
      <c r="C45" t="s">
        <v>155</v>
      </c>
      <c r="D45">
        <v>9</v>
      </c>
      <c r="E45" t="s">
        <v>69</v>
      </c>
    </row>
    <row r="46" spans="1:5" x14ac:dyDescent="0.25">
      <c r="A46" t="s">
        <v>156</v>
      </c>
      <c r="B46" s="22">
        <v>46094</v>
      </c>
      <c r="C46" t="s">
        <v>157</v>
      </c>
      <c r="D46">
        <v>10.8</v>
      </c>
      <c r="E46" t="s">
        <v>69</v>
      </c>
    </row>
    <row r="47" spans="1:5" x14ac:dyDescent="0.25">
      <c r="A47" t="s">
        <v>158</v>
      </c>
      <c r="B47" s="22">
        <v>46095</v>
      </c>
      <c r="C47" t="s">
        <v>159</v>
      </c>
      <c r="D47">
        <v>26.200000000000003</v>
      </c>
      <c r="E47" t="s">
        <v>69</v>
      </c>
    </row>
    <row r="48" spans="1:5" x14ac:dyDescent="0.25">
      <c r="A48" t="s">
        <v>160</v>
      </c>
      <c r="B48" s="22">
        <v>46098</v>
      </c>
      <c r="C48" t="s">
        <v>161</v>
      </c>
      <c r="D48">
        <v>10.8</v>
      </c>
      <c r="E48" t="s">
        <v>69</v>
      </c>
    </row>
    <row r="49" spans="1:5" x14ac:dyDescent="0.25">
      <c r="A49" t="s">
        <v>162</v>
      </c>
      <c r="B49" s="22">
        <v>46099</v>
      </c>
      <c r="C49" t="s">
        <v>163</v>
      </c>
      <c r="D49">
        <v>10</v>
      </c>
      <c r="E49" t="s">
        <v>69</v>
      </c>
    </row>
    <row r="50" spans="1:5" x14ac:dyDescent="0.25">
      <c r="A50" t="s">
        <v>164</v>
      </c>
      <c r="B50" s="22">
        <v>46100</v>
      </c>
      <c r="C50" t="s">
        <v>165</v>
      </c>
      <c r="D50">
        <v>9.600000000000001</v>
      </c>
      <c r="E50" t="s">
        <v>69</v>
      </c>
    </row>
    <row r="51" spans="1:5" x14ac:dyDescent="0.25">
      <c r="A51" t="s">
        <v>166</v>
      </c>
      <c r="B51" s="22">
        <v>46101</v>
      </c>
      <c r="C51" t="s">
        <v>167</v>
      </c>
      <c r="D51">
        <v>11.4</v>
      </c>
      <c r="E51" t="s">
        <v>69</v>
      </c>
    </row>
    <row r="52" spans="1:5" x14ac:dyDescent="0.25">
      <c r="A52" t="s">
        <v>168</v>
      </c>
      <c r="B52" s="22">
        <v>46102</v>
      </c>
      <c r="C52" t="s">
        <v>169</v>
      </c>
      <c r="D52">
        <v>28.200000000000003</v>
      </c>
      <c r="E52" t="s">
        <v>69</v>
      </c>
    </row>
    <row r="53" spans="1:5" x14ac:dyDescent="0.25">
      <c r="A53" t="s">
        <v>170</v>
      </c>
      <c r="B53" s="22">
        <v>46105</v>
      </c>
      <c r="C53" t="s">
        <v>171</v>
      </c>
      <c r="D53">
        <v>8.6</v>
      </c>
      <c r="E53" t="s">
        <v>69</v>
      </c>
    </row>
    <row r="54" spans="1:5" x14ac:dyDescent="0.25">
      <c r="A54" t="s">
        <v>172</v>
      </c>
      <c r="B54" s="22">
        <v>46106</v>
      </c>
      <c r="C54" t="s">
        <v>173</v>
      </c>
      <c r="D54">
        <v>9.200000000000001</v>
      </c>
      <c r="E54" t="s">
        <v>69</v>
      </c>
    </row>
    <row r="55" spans="1:5" x14ac:dyDescent="0.25">
      <c r="A55" t="s">
        <v>174</v>
      </c>
      <c r="B55" s="22">
        <v>46107</v>
      </c>
      <c r="C55" t="s">
        <v>175</v>
      </c>
      <c r="D55">
        <v>8.92</v>
      </c>
      <c r="E55" t="s">
        <v>69</v>
      </c>
    </row>
    <row r="56" spans="1:5" x14ac:dyDescent="0.25">
      <c r="A56" t="s">
        <v>176</v>
      </c>
      <c r="B56" s="22">
        <v>46108</v>
      </c>
      <c r="C56" t="s">
        <v>177</v>
      </c>
      <c r="D56">
        <v>10</v>
      </c>
      <c r="E56" t="s">
        <v>69</v>
      </c>
    </row>
    <row r="57" spans="1:5" x14ac:dyDescent="0.25">
      <c r="A57" t="s">
        <v>178</v>
      </c>
      <c r="B57" s="22">
        <v>46109</v>
      </c>
      <c r="C57" t="s">
        <v>179</v>
      </c>
      <c r="D57">
        <v>25.52</v>
      </c>
      <c r="E57" t="s">
        <v>69</v>
      </c>
    </row>
    <row r="58" spans="1:5" x14ac:dyDescent="0.25">
      <c r="A58" t="s">
        <v>180</v>
      </c>
      <c r="B58" s="22">
        <v>46112</v>
      </c>
      <c r="C58" t="s">
        <v>181</v>
      </c>
      <c r="D58">
        <v>13.200000000000001</v>
      </c>
      <c r="E58" t="s">
        <v>69</v>
      </c>
    </row>
    <row r="59" spans="1:5" x14ac:dyDescent="0.25">
      <c r="A59" t="s">
        <v>182</v>
      </c>
      <c r="B59" s="22">
        <v>46113</v>
      </c>
      <c r="C59" t="s">
        <v>183</v>
      </c>
      <c r="D59">
        <v>9.200000000000001</v>
      </c>
      <c r="E59" t="s">
        <v>69</v>
      </c>
    </row>
    <row r="60" spans="1:5" x14ac:dyDescent="0.25">
      <c r="A60" t="s">
        <v>184</v>
      </c>
      <c r="B60" s="22">
        <v>46114</v>
      </c>
      <c r="C60" t="s">
        <v>185</v>
      </c>
      <c r="D60">
        <v>9.24</v>
      </c>
      <c r="E60" t="s">
        <v>69</v>
      </c>
    </row>
    <row r="61" spans="1:5" x14ac:dyDescent="0.25">
      <c r="A61" t="s">
        <v>186</v>
      </c>
      <c r="B61" s="22">
        <v>46119</v>
      </c>
      <c r="C61" t="s">
        <v>187</v>
      </c>
      <c r="D61">
        <v>10.240000000000002</v>
      </c>
      <c r="E61" t="s">
        <v>69</v>
      </c>
    </row>
    <row r="62" spans="1:5" x14ac:dyDescent="0.25">
      <c r="A62" t="s">
        <v>188</v>
      </c>
      <c r="B62" s="22">
        <v>46120</v>
      </c>
      <c r="C62" t="s">
        <v>189</v>
      </c>
      <c r="D62">
        <v>9.28</v>
      </c>
      <c r="E62" t="s">
        <v>69</v>
      </c>
    </row>
    <row r="63" spans="1:5" x14ac:dyDescent="0.25">
      <c r="A63" t="s">
        <v>190</v>
      </c>
      <c r="B63" s="22">
        <v>46121</v>
      </c>
      <c r="C63" t="s">
        <v>191</v>
      </c>
      <c r="D63">
        <v>12.200000000000001</v>
      </c>
      <c r="E63" t="s">
        <v>69</v>
      </c>
    </row>
    <row r="64" spans="1:5" x14ac:dyDescent="0.25">
      <c r="A64" t="s">
        <v>192</v>
      </c>
      <c r="B64" s="22">
        <v>46122</v>
      </c>
      <c r="C64" t="s">
        <v>193</v>
      </c>
      <c r="D64">
        <v>9.24</v>
      </c>
      <c r="E64" t="s">
        <v>69</v>
      </c>
    </row>
    <row r="65" spans="1:5" x14ac:dyDescent="0.25">
      <c r="A65" t="s">
        <v>194</v>
      </c>
      <c r="B65" s="22">
        <v>46123</v>
      </c>
      <c r="C65" t="s">
        <v>195</v>
      </c>
      <c r="D65">
        <v>25.400000000000002</v>
      </c>
      <c r="E65" t="s">
        <v>69</v>
      </c>
    </row>
    <row r="66" spans="1:5" x14ac:dyDescent="0.25">
      <c r="A66" t="s">
        <v>196</v>
      </c>
      <c r="B66" s="22">
        <v>46126</v>
      </c>
      <c r="C66" t="s">
        <v>197</v>
      </c>
      <c r="D66">
        <v>14</v>
      </c>
      <c r="E66" t="s">
        <v>69</v>
      </c>
    </row>
    <row r="67" spans="1:5" x14ac:dyDescent="0.25">
      <c r="A67" t="s">
        <v>198</v>
      </c>
      <c r="B67" s="22">
        <v>46127</v>
      </c>
      <c r="C67" t="s">
        <v>199</v>
      </c>
      <c r="D67">
        <v>8.6</v>
      </c>
      <c r="E67" t="s">
        <v>69</v>
      </c>
    </row>
    <row r="68" spans="1:5" x14ac:dyDescent="0.25">
      <c r="A68" t="s">
        <v>200</v>
      </c>
      <c r="B68" s="22">
        <v>46128</v>
      </c>
      <c r="C68" t="s">
        <v>201</v>
      </c>
      <c r="D68">
        <v>8.8</v>
      </c>
      <c r="E68" t="s">
        <v>69</v>
      </c>
    </row>
    <row r="69" spans="1:5" x14ac:dyDescent="0.25">
      <c r="A69" t="s">
        <v>202</v>
      </c>
      <c r="B69" s="22">
        <v>46129</v>
      </c>
      <c r="C69" t="s">
        <v>203</v>
      </c>
      <c r="D69">
        <v>8.8</v>
      </c>
      <c r="E69" t="s">
        <v>69</v>
      </c>
    </row>
    <row r="70" spans="1:5" x14ac:dyDescent="0.25">
      <c r="A70" t="s">
        <v>204</v>
      </c>
      <c r="B70" s="22">
        <v>46130</v>
      </c>
      <c r="C70" t="s">
        <v>205</v>
      </c>
      <c r="D70">
        <v>25.200000000000003</v>
      </c>
      <c r="E70" t="s">
        <v>69</v>
      </c>
    </row>
    <row r="71" spans="1:5" x14ac:dyDescent="0.25">
      <c r="A71" t="s">
        <v>206</v>
      </c>
      <c r="B71" s="22">
        <v>46134</v>
      </c>
      <c r="C71" t="s">
        <v>207</v>
      </c>
      <c r="D71">
        <v>10.4</v>
      </c>
      <c r="E71" t="s">
        <v>69</v>
      </c>
    </row>
    <row r="72" spans="1:5" x14ac:dyDescent="0.25">
      <c r="A72" t="s">
        <v>208</v>
      </c>
      <c r="B72" s="22">
        <v>46135</v>
      </c>
      <c r="C72" t="s">
        <v>209</v>
      </c>
      <c r="D72">
        <v>8.88</v>
      </c>
      <c r="E72" t="s">
        <v>69</v>
      </c>
    </row>
    <row r="73" spans="1:5" x14ac:dyDescent="0.25">
      <c r="A73" t="s">
        <v>210</v>
      </c>
      <c r="B73" s="22">
        <v>46136</v>
      </c>
      <c r="C73" t="s">
        <v>211</v>
      </c>
      <c r="D73">
        <v>11</v>
      </c>
      <c r="E73" t="s">
        <v>69</v>
      </c>
    </row>
    <row r="74" spans="1:5" x14ac:dyDescent="0.25">
      <c r="A74" t="s">
        <v>212</v>
      </c>
      <c r="B74" s="22">
        <v>46137</v>
      </c>
      <c r="C74" t="s">
        <v>213</v>
      </c>
      <c r="D74">
        <v>25.200000000000003</v>
      </c>
      <c r="E74" t="s">
        <v>69</v>
      </c>
    </row>
    <row r="75" spans="1:5" x14ac:dyDescent="0.25">
      <c r="A75" t="s">
        <v>214</v>
      </c>
      <c r="B75" s="22">
        <v>46140</v>
      </c>
      <c r="C75" t="s">
        <v>215</v>
      </c>
      <c r="D75">
        <v>12.960000000000003</v>
      </c>
      <c r="E75" t="s">
        <v>69</v>
      </c>
    </row>
    <row r="76" spans="1:5" x14ac:dyDescent="0.25">
      <c r="A76" t="s">
        <v>216</v>
      </c>
      <c r="B76" s="22">
        <v>46141</v>
      </c>
      <c r="C76" t="s">
        <v>217</v>
      </c>
      <c r="D76">
        <v>9.8</v>
      </c>
      <c r="E76" t="s">
        <v>69</v>
      </c>
    </row>
    <row r="77" spans="1:5" x14ac:dyDescent="0.25">
      <c r="A77" t="s">
        <v>218</v>
      </c>
      <c r="B77" s="22">
        <v>46142</v>
      </c>
      <c r="C77" t="s">
        <v>219</v>
      </c>
      <c r="D77">
        <v>10.280000000000001</v>
      </c>
      <c r="E77" t="s">
        <v>69</v>
      </c>
    </row>
    <row r="78" spans="1:5" x14ac:dyDescent="0.25">
      <c r="A78" t="s">
        <v>220</v>
      </c>
      <c r="B78" s="22">
        <v>46144</v>
      </c>
      <c r="C78" t="s">
        <v>221</v>
      </c>
      <c r="D78">
        <v>19.28</v>
      </c>
      <c r="E78" t="s">
        <v>69</v>
      </c>
    </row>
    <row r="79" spans="1:5" x14ac:dyDescent="0.25">
      <c r="A79" t="s">
        <v>222</v>
      </c>
      <c r="B79" s="22">
        <v>46147</v>
      </c>
      <c r="C79" t="s">
        <v>223</v>
      </c>
      <c r="D79">
        <v>7.800000000000001</v>
      </c>
      <c r="E79" t="s">
        <v>69</v>
      </c>
    </row>
    <row r="80" spans="1:5" x14ac:dyDescent="0.25">
      <c r="A80" t="s">
        <v>224</v>
      </c>
      <c r="B80" s="22">
        <v>46148</v>
      </c>
      <c r="C80" t="s">
        <v>225</v>
      </c>
      <c r="D80">
        <v>7.4</v>
      </c>
      <c r="E80" t="s">
        <v>69</v>
      </c>
    </row>
    <row r="81" spans="1:5" x14ac:dyDescent="0.25">
      <c r="A81" t="s">
        <v>226</v>
      </c>
      <c r="B81" s="22">
        <v>46149</v>
      </c>
      <c r="C81" t="s">
        <v>227</v>
      </c>
      <c r="D81">
        <v>7.800000000000001</v>
      </c>
      <c r="E81" t="s">
        <v>69</v>
      </c>
    </row>
    <row r="82" spans="1:5" x14ac:dyDescent="0.25">
      <c r="A82" t="s">
        <v>228</v>
      </c>
      <c r="B82" s="22">
        <v>46154</v>
      </c>
      <c r="C82" t="s">
        <v>229</v>
      </c>
      <c r="D82">
        <v>13.4</v>
      </c>
      <c r="E82" t="s">
        <v>69</v>
      </c>
    </row>
    <row r="83" spans="1:5" x14ac:dyDescent="0.25">
      <c r="A83" t="s">
        <v>230</v>
      </c>
      <c r="B83" s="22">
        <v>46155</v>
      </c>
      <c r="C83" t="s">
        <v>231</v>
      </c>
      <c r="D83">
        <v>9</v>
      </c>
      <c r="E83" t="s">
        <v>69</v>
      </c>
    </row>
    <row r="84" spans="1:5" x14ac:dyDescent="0.25">
      <c r="A84" t="s">
        <v>232</v>
      </c>
      <c r="B84" s="22">
        <v>46156</v>
      </c>
      <c r="C84" t="s">
        <v>233</v>
      </c>
      <c r="D84">
        <v>8.4</v>
      </c>
      <c r="E84" t="s">
        <v>69</v>
      </c>
    </row>
    <row r="85" spans="1:5" x14ac:dyDescent="0.25">
      <c r="A85" t="s">
        <v>234</v>
      </c>
      <c r="B85" s="22">
        <v>46157</v>
      </c>
      <c r="C85" t="s">
        <v>235</v>
      </c>
      <c r="D85">
        <v>9.200000000000001</v>
      </c>
      <c r="E85" t="s">
        <v>69</v>
      </c>
    </row>
    <row r="86" spans="1:5" x14ac:dyDescent="0.25">
      <c r="A86" t="s">
        <v>236</v>
      </c>
      <c r="B86" s="22">
        <v>46158</v>
      </c>
      <c r="C86" t="s">
        <v>237</v>
      </c>
      <c r="D86">
        <v>18</v>
      </c>
      <c r="E86" t="s">
        <v>69</v>
      </c>
    </row>
    <row r="87" spans="1:5" x14ac:dyDescent="0.25">
      <c r="A87" t="s">
        <v>238</v>
      </c>
      <c r="B87" s="22">
        <v>46161</v>
      </c>
      <c r="C87" t="s">
        <v>239</v>
      </c>
      <c r="D87">
        <v>8</v>
      </c>
      <c r="E87" t="s">
        <v>69</v>
      </c>
    </row>
    <row r="88" spans="1:5" x14ac:dyDescent="0.25">
      <c r="A88" t="s">
        <v>240</v>
      </c>
      <c r="B88" s="22">
        <v>46162</v>
      </c>
      <c r="C88" t="s">
        <v>241</v>
      </c>
      <c r="D88">
        <v>11.8</v>
      </c>
      <c r="E88" t="s">
        <v>69</v>
      </c>
    </row>
    <row r="89" spans="1:5" x14ac:dyDescent="0.25">
      <c r="A89" t="s">
        <v>242</v>
      </c>
      <c r="B89" s="22">
        <v>46163</v>
      </c>
      <c r="C89" t="s">
        <v>243</v>
      </c>
      <c r="D89">
        <v>9.200000000000001</v>
      </c>
      <c r="E89" t="s">
        <v>69</v>
      </c>
    </row>
    <row r="90" spans="1:5" x14ac:dyDescent="0.25">
      <c r="A90" t="s">
        <v>244</v>
      </c>
      <c r="B90" s="22">
        <v>46164</v>
      </c>
      <c r="C90" t="s">
        <v>245</v>
      </c>
      <c r="D90">
        <v>10.8</v>
      </c>
      <c r="E90" t="s">
        <v>69</v>
      </c>
    </row>
    <row r="91" spans="1:5" x14ac:dyDescent="0.25">
      <c r="A91" t="s">
        <v>246</v>
      </c>
      <c r="B91" s="22">
        <v>46165</v>
      </c>
      <c r="C91" t="s">
        <v>247</v>
      </c>
      <c r="D91">
        <v>26.080000000000002</v>
      </c>
      <c r="E91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6"/>
  <sheetViews>
    <sheetView workbookViewId="0" zoomScale="66" zoomScaleNormal="100">
      <selection activeCell="B27" sqref="B27"/>
    </sheetView>
  </sheetViews>
  <sheetFormatPr defaultRowHeight="15" outlineLevelRow="0" outlineLevelCol="0" x14ac:dyDescent="0.2"/>
  <cols>
    <col min="1" max="1" width="16.54296875" customWidth="1"/>
    <col min="2" max="2" width="13.71875" customWidth="1"/>
    <col min="3" max="3" width="23.67578125" customWidth="1"/>
    <col min="4" max="4" width="18.5625" customWidth="1"/>
    <col min="5" max="5" width="15.33203125" customWidth="1"/>
    <col min="6" max="6" width="23.67578125" customWidth="1"/>
    <col min="7" max="7" width="19.90625" customWidth="1"/>
    <col min="8" max="9" width="18.5625" customWidth="1"/>
    <col min="10" max="17" width="24.88671875" customWidth="1"/>
    <col min="18" max="18" width="26.09765625" customWidth="1"/>
    <col min="19" max="19" width="29.99609375" customWidth="1"/>
    <col min="20" max="20" width="24.34765625" customWidth="1"/>
    <col min="21" max="45" width="24.88671875" customWidth="1"/>
    <col min="46" max="46" width="26.09765625" customWidth="1"/>
    <col min="47" max="47" width="29.99609375" customWidth="1"/>
    <col min="48" max="48" width="24.34765625" customWidth="1"/>
    <col min="49" max="59" width="24.88671875" customWidth="1"/>
    <col min="60" max="60" width="26.09765625" customWidth="1"/>
    <col min="61" max="61" width="29.99609375" customWidth="1"/>
    <col min="62" max="62" width="24.34765625" customWidth="1"/>
    <col min="63" max="65" width="24.88671875" customWidth="1"/>
    <col min="66" max="66" width="27.7109375" customWidth="1"/>
    <col min="67" max="67" width="31.74609375" customWidth="1"/>
    <col min="68" max="68" width="25.828125" customWidth="1"/>
    <col min="69" max="69" width="26.36328125" customWidth="1"/>
    <col min="70" max="70" width="30.40234375" customWidth="1"/>
    <col min="71" max="71" width="24.75" customWidth="1"/>
    <col min="72" max="72" width="26.36328125" customWidth="1"/>
    <col min="73" max="73" width="30.40234375" customWidth="1"/>
    <col min="74" max="74" width="24.75" customWidth="1"/>
    <col min="75" max="77" width="24.88671875" customWidth="1"/>
    <col min="78" max="78" width="27.7109375" customWidth="1"/>
    <col min="79" max="79" width="31.74609375" customWidth="1"/>
    <col min="80" max="80" width="25.828125" customWidth="1"/>
    <col min="81" max="81" width="29.32421875" customWidth="1"/>
    <col min="82" max="82" width="33.2265625" customWidth="1"/>
    <col min="83" max="83" width="27.57421875" customWidth="1"/>
    <col min="84" max="84" width="26.36328125" customWidth="1"/>
    <col min="85" max="85" width="30.40234375" customWidth="1"/>
    <col min="86" max="86" width="24.75" customWidth="1"/>
    <col min="87" max="89" width="24.88671875" customWidth="1"/>
    <col min="90" max="90" width="27.7109375" customWidth="1"/>
    <col min="91" max="91" width="31.74609375" customWidth="1"/>
    <col min="92" max="92" width="25.828125" customWidth="1"/>
    <col min="93" max="93" width="26.36328125" customWidth="1"/>
    <col min="94" max="94" width="30.40234375" customWidth="1"/>
    <col min="95" max="95" width="24.75" customWidth="1"/>
    <col min="96" max="98" width="24.88671875" customWidth="1"/>
    <col min="99" max="99" width="27.7109375" customWidth="1"/>
    <col min="100" max="100" width="31.74609375" customWidth="1"/>
    <col min="101" max="101" width="25.828125" customWidth="1"/>
    <col min="102" max="102" width="26.36328125" customWidth="1"/>
    <col min="103" max="103" width="30.40234375" customWidth="1"/>
    <col min="104" max="104" width="24.75" customWidth="1"/>
    <col min="105" max="105" width="26.36328125" customWidth="1"/>
    <col min="106" max="106" width="30.40234375" customWidth="1"/>
    <col min="107" max="107" width="24.75" customWidth="1"/>
    <col min="108" max="110" width="24.88671875" customWidth="1"/>
    <col min="111" max="111" width="27.7109375" customWidth="1"/>
    <col min="112" max="112" width="31.74609375" customWidth="1"/>
    <col min="113" max="113" width="25.828125" customWidth="1"/>
    <col min="114" max="114" width="26.36328125" customWidth="1"/>
    <col min="115" max="115" width="30.40234375" customWidth="1"/>
    <col min="116" max="116" width="24.75" customWidth="1"/>
    <col min="117" max="119" width="24.88671875" customWidth="1"/>
    <col min="120" max="120" width="27.7109375" customWidth="1"/>
    <col min="121" max="121" width="31.74609375" customWidth="1"/>
    <col min="122" max="122" width="25.828125" customWidth="1"/>
    <col min="123" max="123" width="26.36328125" customWidth="1"/>
    <col min="124" max="124" width="30.40234375" customWidth="1"/>
    <col min="125" max="125" width="24.75" customWidth="1"/>
    <col min="126" max="128" width="24.88671875" customWidth="1"/>
    <col min="129" max="129" width="27.7109375" customWidth="1"/>
    <col min="130" max="130" width="31.74609375" customWidth="1"/>
    <col min="131" max="131" width="25.828125" customWidth="1"/>
    <col min="132" max="132" width="26.36328125" customWidth="1"/>
    <col min="133" max="133" width="30.40234375" customWidth="1"/>
    <col min="134" max="134" width="24.75" customWidth="1"/>
    <col min="135" max="137" width="24.88671875" customWidth="1"/>
    <col min="138" max="138" width="27.7109375" customWidth="1"/>
    <col min="139" max="139" width="31.74609375" customWidth="1"/>
    <col min="140" max="140" width="25.828125" customWidth="1"/>
    <col min="141" max="141" width="26.36328125" customWidth="1"/>
    <col min="142" max="142" width="30.40234375" customWidth="1"/>
    <col min="143" max="143" width="24.75" customWidth="1"/>
    <col min="144" max="146" width="24.88671875" customWidth="1"/>
    <col min="147" max="147" width="27.7109375" customWidth="1"/>
    <col min="148" max="148" width="31.74609375" customWidth="1"/>
    <col min="149" max="149" width="25.828125" customWidth="1"/>
    <col min="150" max="150" width="26.36328125" customWidth="1"/>
    <col min="151" max="151" width="30.40234375" customWidth="1"/>
    <col min="152" max="152" width="24.75" customWidth="1"/>
    <col min="153" max="155" width="24.88671875" customWidth="1"/>
    <col min="156" max="156" width="27.7109375" customWidth="1"/>
    <col min="157" max="157" width="31.74609375" customWidth="1"/>
    <col min="158" max="158" width="25.828125" customWidth="1"/>
    <col min="159" max="159" width="26.36328125" customWidth="1"/>
    <col min="160" max="160" width="30.40234375" customWidth="1"/>
    <col min="161" max="161" width="24.75" customWidth="1"/>
    <col min="162" max="162" width="26.36328125" customWidth="1"/>
    <col min="163" max="163" width="30.40234375" customWidth="1"/>
    <col min="164" max="164" width="24.75" customWidth="1"/>
    <col min="165" max="167" width="24.88671875" customWidth="1"/>
    <col min="168" max="168" width="27.7109375" customWidth="1"/>
    <col min="169" max="169" width="31.74609375" customWidth="1"/>
    <col min="170" max="170" width="25.828125" customWidth="1"/>
    <col min="171" max="171" width="26.36328125" customWidth="1"/>
    <col min="172" max="172" width="30.40234375" customWidth="1"/>
    <col min="173" max="173" width="24.75" customWidth="1"/>
    <col min="174" max="174" width="26.36328125" customWidth="1"/>
    <col min="175" max="175" width="30.40234375" customWidth="1"/>
    <col min="176" max="176" width="24.75" customWidth="1"/>
    <col min="177" max="179" width="24.88671875" customWidth="1"/>
    <col min="180" max="180" width="29.32421875" customWidth="1"/>
    <col min="181" max="181" width="33.2265625" customWidth="1"/>
    <col min="182" max="182" width="27.57421875" customWidth="1"/>
    <col min="183" max="183" width="29.32421875" customWidth="1"/>
    <col min="184" max="184" width="33.2265625" customWidth="1"/>
    <col min="185" max="185" width="27.57421875" customWidth="1"/>
    <col min="186" max="186" width="29.32421875" customWidth="1"/>
    <col min="187" max="187" width="33.2265625" customWidth="1"/>
    <col min="188" max="188" width="27.57421875" customWidth="1"/>
    <col min="189" max="191" width="24.88671875" customWidth="1"/>
    <col min="192" max="192" width="27.7109375" customWidth="1"/>
    <col min="193" max="193" width="31.74609375" customWidth="1"/>
    <col min="194" max="194" width="25.828125" customWidth="1"/>
    <col min="195" max="195" width="29.32421875" customWidth="1"/>
    <col min="196" max="196" width="33.2265625" customWidth="1"/>
    <col min="197" max="197" width="27.57421875" customWidth="1"/>
    <col min="198" max="198" width="29.32421875" customWidth="1"/>
    <col min="199" max="199" width="33.2265625" customWidth="1"/>
    <col min="200" max="200" width="27.57421875" customWidth="1"/>
    <col min="201" max="203" width="24.88671875" customWidth="1"/>
    <col min="204" max="204" width="27.7109375" customWidth="1"/>
    <col min="205" max="205" width="31.74609375" customWidth="1"/>
    <col min="206" max="206" width="25.828125" customWidth="1"/>
    <col min="207" max="207" width="27.7109375" customWidth="1"/>
    <col min="208" max="208" width="31.74609375" customWidth="1"/>
    <col min="209" max="209" width="25.828125" customWidth="1"/>
    <col min="210" max="210" width="27.7109375" customWidth="1"/>
    <col min="211" max="211" width="31.74609375" customWidth="1"/>
    <col min="212" max="212" width="25.828125" customWidth="1"/>
    <col min="213" max="213" width="26.09765625" customWidth="1"/>
    <col min="214" max="214" width="29.99609375" customWidth="1"/>
    <col min="215" max="215" width="24.34765625" customWidth="1"/>
  </cols>
  <sheetData>
    <row r="3" spans="1:7" x14ac:dyDescent="0.25">
      <c r="A3" s="15" t="s">
        <v>0</v>
      </c>
      <c r="B3" s="15" t="s">
        <v>1</v>
      </c>
      <c r="C3" s="15" t="s">
        <v>45</v>
      </c>
      <c r="E3" s="16" t="s">
        <v>46</v>
      </c>
      <c r="F3" t="s">
        <v>45</v>
      </c>
      <c r="G3" t="s">
        <v>47</v>
      </c>
    </row>
    <row r="4" spans="1:7" x14ac:dyDescent="0.25">
      <c r="A4" s="17">
        <v>46167</v>
      </c>
      <c r="B4" t="s">
        <v>20</v>
      </c>
      <c r="C4" s="8">
        <v>0</v>
      </c>
      <c r="E4" s="1" t="s">
        <v>48</v>
      </c>
      <c r="F4" s="8">
        <v>1333</v>
      </c>
      <c r="G4" s="18">
        <v>4.628472222222626</v>
      </c>
    </row>
    <row r="5" spans="1:7" x14ac:dyDescent="0.25">
      <c r="A5" s="17">
        <v>46168</v>
      </c>
      <c r="B5" t="s">
        <v>21</v>
      </c>
      <c r="C5" s="8">
        <v>58.999999999999986</v>
      </c>
      <c r="E5" s="1" t="s">
        <v>49</v>
      </c>
      <c r="F5" s="8">
        <v>1271.2</v>
      </c>
      <c r="G5" s="18">
        <v>4.413888888888323</v>
      </c>
    </row>
    <row r="6" spans="1:7" x14ac:dyDescent="0.25">
      <c r="A6" s="17">
        <v>46169</v>
      </c>
      <c r="B6" t="s">
        <v>24</v>
      </c>
      <c r="C6" s="8">
        <v>46</v>
      </c>
      <c r="E6" s="1" t="s">
        <v>50</v>
      </c>
      <c r="F6" s="8">
        <v>1343.1999999999998</v>
      </c>
      <c r="G6" s="18">
        <v>4.663888888888323</v>
      </c>
    </row>
    <row r="7" spans="1:7" x14ac:dyDescent="0.25">
      <c r="A7" s="17">
        <v>46170</v>
      </c>
      <c r="B7" t="s">
        <v>15</v>
      </c>
      <c r="C7" s="8">
        <v>44</v>
      </c>
      <c r="E7" s="1" t="s">
        <v>51</v>
      </c>
      <c r="F7" s="8">
        <v>1193.6000000000001</v>
      </c>
      <c r="G7" s="18">
        <v>4.1444444444459805</v>
      </c>
    </row>
    <row r="8" spans="1:7" x14ac:dyDescent="0.25">
      <c r="A8" s="17">
        <v>46171</v>
      </c>
      <c r="B8" t="s">
        <v>17</v>
      </c>
      <c r="C8" s="8">
        <v>47.999999999999986</v>
      </c>
      <c r="E8" s="1" t="s">
        <v>52</v>
      </c>
      <c r="F8" s="8">
        <v>1155.2</v>
      </c>
      <c r="G8" s="18">
        <v>4.011111111110949</v>
      </c>
    </row>
    <row r="9" spans="1:7" x14ac:dyDescent="0.25">
      <c r="A9" s="17">
        <v>46172</v>
      </c>
      <c r="B9" t="s">
        <v>18</v>
      </c>
      <c r="C9" s="8">
        <v>127.4</v>
      </c>
      <c r="E9" s="1" t="s">
        <v>53</v>
      </c>
      <c r="F9" s="8">
        <v>0</v>
      </c>
      <c r="G9" s="18">
        <v>0</v>
      </c>
    </row>
    <row r="10" spans="1:7" x14ac:dyDescent="0.25">
      <c r="A10" s="17">
        <v>46173</v>
      </c>
      <c r="B10" t="s">
        <v>19</v>
      </c>
      <c r="C10" s="8">
        <v>0</v>
      </c>
      <c r="E10" s="1" t="s">
        <v>54</v>
      </c>
      <c r="F10" s="8">
        <v>0</v>
      </c>
      <c r="G10" s="18">
        <v>0</v>
      </c>
    </row>
    <row r="11" spans="1:7" x14ac:dyDescent="0.25">
      <c r="A11" s="19" t="s">
        <v>55</v>
      </c>
      <c r="B11" s="15"/>
      <c r="C11" s="20">
        <v>324.4</v>
      </c>
      <c r="E11" s="1" t="s">
        <v>56</v>
      </c>
      <c r="F11" s="8">
        <v>0</v>
      </c>
      <c r="G11" s="18">
        <v>0</v>
      </c>
    </row>
    <row r="12" spans="5:7" x14ac:dyDescent="0.25">
      <c r="E12" s="1" t="s">
        <v>57</v>
      </c>
      <c r="F12" s="8">
        <v>0</v>
      </c>
      <c r="G12" s="18">
        <v>0</v>
      </c>
    </row>
    <row r="13" spans="5:7" x14ac:dyDescent="0.25">
      <c r="E13" s="1" t="s">
        <v>58</v>
      </c>
      <c r="F13" s="8">
        <v>0</v>
      </c>
      <c r="G13" s="18">
        <v>0</v>
      </c>
    </row>
    <row r="14" spans="5:7" x14ac:dyDescent="0.25">
      <c r="E14" s="1" t="s">
        <v>59</v>
      </c>
      <c r="F14" s="8">
        <v>0</v>
      </c>
      <c r="G14" s="18">
        <v>0</v>
      </c>
    </row>
    <row r="15" spans="5:7" x14ac:dyDescent="0.25">
      <c r="E15" s="1" t="s">
        <v>60</v>
      </c>
      <c r="F15" s="8">
        <v>0</v>
      </c>
      <c r="G15" s="18">
        <v>0</v>
      </c>
    </row>
    <row r="16" spans="5:7" x14ac:dyDescent="0.25">
      <c r="E16" s="1" t="s">
        <v>55</v>
      </c>
      <c r="F16" s="8">
        <v>6296.2</v>
      </c>
      <c r="G16" s="18">
        <v>21.861805555556202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Controle de Horas</vt:lpstr>
      <vt:lpstr>Filtro</vt:lpstr>
      <vt:lpstr>Gestão Financeira</vt:lpstr>
      <vt:lpstr>Investimentos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cp:keywords/>
  <cp:category/>
  <cp:lastModifiedBy>Usuário Convidado</cp:lastModifiedBy>
  <cp:contentStatus/>
  <dcterms:created xsi:type="dcterms:W3CDTF">2026-01-30T19:28:17Z</dcterms:created>
  <dcterms:modified xsi:type="dcterms:W3CDTF">2026-02-23T19:02:27Z</dcterms:modified>
</cp:coreProperties>
</file>