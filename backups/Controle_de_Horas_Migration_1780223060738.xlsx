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ne\OneDrive\Área de Trabalho\"/>
    </mc:Choice>
  </mc:AlternateContent>
  <xr:revisionPtr revIDLastSave="0" documentId="8_{0E6D69D2-029F-0541-984A-FD7D349C134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ontrole de Horas" sheetId="1" r:id="rId1"/>
    <sheet name="Filtro" sheetId="4" r:id="rId2"/>
  </sheets>
  <calcPr calcId="191028"/>
  <pivotCaches>
    <pivotCache cacheId="17" r:id="rId3"/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H5" i="1"/>
  <c r="G6" i="1"/>
  <c r="G7" i="1"/>
  <c r="G8" i="1"/>
  <c r="G9" i="1"/>
  <c r="G10" i="1"/>
  <c r="G11" i="1"/>
  <c r="G12" i="1"/>
  <c r="G13" i="1"/>
  <c r="H13" i="1"/>
  <c r="G14" i="1"/>
  <c r="G15" i="1"/>
  <c r="G16" i="1"/>
  <c r="G17" i="1"/>
  <c r="G18" i="1"/>
  <c r="G19" i="1"/>
  <c r="G20" i="1"/>
  <c r="G21" i="1"/>
  <c r="H21" i="1"/>
  <c r="G22" i="1"/>
  <c r="G23" i="1"/>
  <c r="G24" i="1"/>
  <c r="G25" i="1"/>
  <c r="G26" i="1"/>
  <c r="G27" i="1"/>
  <c r="G28" i="1"/>
  <c r="G29" i="1"/>
  <c r="H29" i="1"/>
  <c r="G30" i="1"/>
  <c r="G31" i="1"/>
  <c r="G32" i="1"/>
  <c r="H32" i="1"/>
  <c r="G33" i="1"/>
  <c r="H33" i="1"/>
  <c r="G34" i="1"/>
  <c r="G35" i="1"/>
  <c r="H35" i="1"/>
  <c r="G36" i="1"/>
  <c r="G37" i="1"/>
  <c r="H37" i="1"/>
  <c r="G38" i="1"/>
  <c r="G39" i="1"/>
  <c r="G40" i="1"/>
  <c r="G41" i="1"/>
  <c r="G42" i="1"/>
  <c r="G43" i="1"/>
  <c r="G44" i="1"/>
  <c r="G45" i="1"/>
  <c r="H45" i="1"/>
  <c r="G46" i="1"/>
  <c r="G47" i="1"/>
  <c r="G48" i="1"/>
  <c r="G49" i="1"/>
  <c r="H49" i="1"/>
  <c r="G50" i="1"/>
  <c r="G51" i="1"/>
  <c r="G52" i="1"/>
  <c r="H52" i="1"/>
  <c r="G53" i="1"/>
  <c r="H53" i="1"/>
  <c r="G54" i="1"/>
  <c r="G55" i="1"/>
  <c r="G56" i="1"/>
  <c r="G57" i="1"/>
  <c r="G58" i="1"/>
  <c r="G59" i="1"/>
  <c r="G60" i="1"/>
  <c r="G61" i="1"/>
  <c r="G62" i="1"/>
  <c r="G63" i="1"/>
  <c r="G64" i="1"/>
  <c r="G65" i="1"/>
  <c r="H65" i="1"/>
  <c r="G66" i="1"/>
  <c r="G67" i="1"/>
  <c r="G68" i="1"/>
  <c r="G69" i="1"/>
  <c r="H69" i="1"/>
  <c r="G70" i="1"/>
  <c r="G71" i="1"/>
  <c r="G72" i="1"/>
  <c r="G73" i="1"/>
  <c r="G74" i="1"/>
  <c r="G75" i="1"/>
  <c r="G76" i="1"/>
  <c r="G77" i="1"/>
  <c r="H77" i="1"/>
  <c r="G78" i="1"/>
  <c r="G79" i="1"/>
  <c r="G80" i="1"/>
  <c r="G81" i="1"/>
  <c r="H81" i="1"/>
  <c r="G82" i="1"/>
  <c r="G83" i="1"/>
  <c r="G84" i="1"/>
  <c r="H84" i="1"/>
  <c r="G85" i="1"/>
  <c r="H85" i="1"/>
  <c r="G86" i="1"/>
  <c r="G87" i="1"/>
  <c r="G88" i="1"/>
  <c r="G89" i="1"/>
  <c r="G90" i="1"/>
  <c r="G91" i="1"/>
  <c r="G92" i="1"/>
  <c r="G93" i="1"/>
  <c r="G94" i="1"/>
  <c r="G95" i="1"/>
  <c r="G96" i="1"/>
  <c r="G97" i="1"/>
  <c r="H97" i="1"/>
  <c r="G98" i="1"/>
  <c r="G99" i="1"/>
  <c r="G100" i="1"/>
  <c r="G101" i="1"/>
  <c r="H101" i="1"/>
  <c r="G102" i="1"/>
  <c r="G103" i="1"/>
  <c r="H103" i="1"/>
  <c r="G104" i="1"/>
  <c r="G105" i="1"/>
  <c r="G106" i="1"/>
  <c r="G107" i="1"/>
  <c r="G108" i="1"/>
  <c r="G109" i="1"/>
  <c r="H109" i="1"/>
  <c r="G110" i="1"/>
  <c r="G111" i="1"/>
  <c r="G112" i="1"/>
  <c r="G113" i="1"/>
  <c r="H113" i="1"/>
  <c r="G114" i="1"/>
  <c r="G115" i="1"/>
  <c r="G116" i="1"/>
  <c r="H116" i="1"/>
  <c r="G117" i="1"/>
  <c r="H117" i="1"/>
  <c r="G118" i="1"/>
  <c r="G119" i="1"/>
  <c r="G120" i="1"/>
  <c r="G121" i="1"/>
  <c r="G122" i="1"/>
  <c r="G123" i="1"/>
  <c r="G124" i="1"/>
  <c r="G125" i="1"/>
  <c r="H125" i="1"/>
  <c r="G126" i="1"/>
  <c r="G127" i="1"/>
  <c r="G128" i="1"/>
  <c r="G129" i="1"/>
  <c r="H129" i="1"/>
  <c r="G130" i="1"/>
  <c r="G131" i="1"/>
  <c r="G132" i="1"/>
  <c r="G133" i="1"/>
  <c r="H133" i="1"/>
  <c r="G134" i="1"/>
  <c r="G135" i="1"/>
  <c r="H135" i="1"/>
  <c r="G136" i="1"/>
  <c r="G137" i="1"/>
  <c r="G138" i="1"/>
  <c r="H138" i="1"/>
  <c r="G139" i="1"/>
  <c r="G140" i="1"/>
  <c r="G141" i="1"/>
  <c r="H141" i="1"/>
  <c r="G142" i="1"/>
  <c r="G143" i="1"/>
  <c r="G144" i="1"/>
  <c r="G145" i="1"/>
  <c r="H145" i="1"/>
  <c r="G146" i="1"/>
  <c r="G147" i="1"/>
  <c r="G148" i="1"/>
  <c r="H148" i="1"/>
  <c r="G149" i="1"/>
  <c r="H149" i="1"/>
  <c r="G150" i="1"/>
  <c r="G151" i="1"/>
  <c r="G152" i="1"/>
  <c r="G153" i="1"/>
  <c r="H153" i="1"/>
  <c r="G154" i="1"/>
  <c r="G155" i="1"/>
  <c r="G156" i="1"/>
  <c r="G157" i="1"/>
  <c r="H157" i="1"/>
  <c r="G158" i="1"/>
  <c r="G159" i="1"/>
  <c r="G160" i="1"/>
  <c r="G161" i="1"/>
  <c r="H161" i="1"/>
  <c r="G162" i="1"/>
  <c r="G163" i="1"/>
  <c r="G164" i="1"/>
  <c r="G165" i="1"/>
  <c r="H165" i="1"/>
  <c r="G166" i="1"/>
  <c r="G167" i="1"/>
  <c r="H167" i="1"/>
  <c r="G168" i="1"/>
  <c r="G169" i="1"/>
  <c r="G170" i="1"/>
  <c r="H170" i="1"/>
  <c r="G171" i="1"/>
  <c r="G172" i="1"/>
  <c r="G173" i="1"/>
  <c r="H173" i="1"/>
  <c r="G174" i="1"/>
  <c r="G175" i="1"/>
  <c r="G176" i="1"/>
  <c r="G177" i="1"/>
  <c r="H177" i="1"/>
  <c r="G178" i="1"/>
  <c r="G179" i="1"/>
  <c r="G180" i="1"/>
  <c r="H180" i="1"/>
  <c r="G181" i="1"/>
  <c r="H181" i="1"/>
  <c r="G182" i="1"/>
  <c r="G183" i="1"/>
  <c r="G184" i="1"/>
  <c r="G185" i="1"/>
  <c r="G186" i="1"/>
  <c r="G187" i="1"/>
  <c r="G188" i="1"/>
  <c r="G189" i="1"/>
  <c r="H189" i="1"/>
  <c r="G190" i="1"/>
  <c r="G191" i="1"/>
  <c r="G192" i="1"/>
  <c r="G193" i="1"/>
  <c r="H193" i="1"/>
  <c r="G194" i="1"/>
  <c r="G195" i="1"/>
  <c r="G196" i="1"/>
  <c r="G197" i="1"/>
  <c r="H197" i="1"/>
  <c r="G198" i="1"/>
  <c r="G199" i="1"/>
  <c r="H199" i="1"/>
  <c r="G200" i="1"/>
  <c r="G201" i="1"/>
  <c r="G202" i="1"/>
  <c r="H202" i="1"/>
  <c r="G203" i="1"/>
  <c r="G204" i="1"/>
  <c r="G205" i="1"/>
  <c r="H205" i="1"/>
  <c r="G206" i="1"/>
  <c r="G207" i="1"/>
  <c r="G208" i="1"/>
  <c r="G209" i="1"/>
  <c r="H209" i="1"/>
  <c r="G210" i="1"/>
  <c r="G211" i="1"/>
  <c r="G212" i="1"/>
  <c r="H212" i="1"/>
  <c r="G213" i="1"/>
  <c r="H213" i="1"/>
  <c r="G214" i="1"/>
  <c r="G215" i="1"/>
  <c r="G216" i="1"/>
  <c r="G217" i="1"/>
  <c r="G218" i="1"/>
  <c r="G219" i="1"/>
  <c r="G220" i="1"/>
  <c r="G221" i="1"/>
  <c r="H221" i="1"/>
  <c r="G222" i="1"/>
  <c r="G223" i="1"/>
  <c r="G224" i="1"/>
  <c r="G225" i="1"/>
  <c r="H225" i="1"/>
  <c r="G226" i="1"/>
  <c r="H226" i="1"/>
  <c r="G227" i="1"/>
  <c r="G228" i="1"/>
  <c r="G229" i="1"/>
  <c r="H229" i="1"/>
  <c r="G230" i="1"/>
  <c r="G231" i="1"/>
  <c r="H231" i="1"/>
  <c r="G232" i="1"/>
  <c r="G233" i="1"/>
  <c r="G234" i="1"/>
  <c r="H234" i="1"/>
  <c r="G235" i="1"/>
  <c r="G236" i="1"/>
  <c r="G237" i="1"/>
  <c r="H237" i="1"/>
  <c r="G238" i="1"/>
  <c r="G239" i="1"/>
  <c r="G240" i="1"/>
  <c r="G241" i="1"/>
  <c r="H241" i="1"/>
  <c r="G242" i="1"/>
  <c r="G243" i="1"/>
  <c r="G244" i="1"/>
  <c r="H244" i="1"/>
  <c r="G245" i="1"/>
  <c r="H245" i="1"/>
  <c r="G246" i="1"/>
  <c r="G247" i="1"/>
  <c r="G248" i="1"/>
  <c r="G249" i="1"/>
  <c r="G250" i="1"/>
  <c r="G251" i="1"/>
  <c r="G252" i="1"/>
  <c r="G253" i="1"/>
  <c r="H253" i="1"/>
  <c r="G254" i="1"/>
  <c r="G255" i="1"/>
  <c r="G256" i="1"/>
  <c r="G257" i="1"/>
  <c r="H257" i="1"/>
  <c r="G258" i="1"/>
  <c r="H258" i="1"/>
  <c r="G259" i="1"/>
  <c r="G260" i="1"/>
  <c r="G261" i="1"/>
  <c r="H261" i="1"/>
  <c r="G262" i="1"/>
  <c r="G263" i="1"/>
  <c r="H263" i="1"/>
  <c r="G264" i="1"/>
  <c r="G265" i="1"/>
  <c r="G266" i="1"/>
  <c r="H266" i="1"/>
  <c r="G267" i="1"/>
  <c r="G268" i="1"/>
  <c r="H268" i="1"/>
  <c r="G269" i="1"/>
  <c r="H269" i="1"/>
  <c r="G270" i="1"/>
  <c r="G271" i="1"/>
  <c r="G272" i="1"/>
  <c r="G273" i="1"/>
  <c r="H273" i="1"/>
  <c r="G274" i="1"/>
  <c r="H274" i="1"/>
  <c r="G275" i="1"/>
  <c r="G276" i="1"/>
  <c r="H276" i="1"/>
  <c r="G277" i="1"/>
  <c r="H277" i="1"/>
  <c r="G278" i="1"/>
  <c r="G279" i="1"/>
  <c r="G280" i="1"/>
  <c r="G281" i="1"/>
  <c r="G282" i="1"/>
  <c r="G283" i="1"/>
  <c r="G284" i="1"/>
  <c r="G285" i="1"/>
  <c r="H285" i="1"/>
  <c r="G286" i="1"/>
  <c r="G287" i="1"/>
  <c r="G288" i="1"/>
  <c r="H288" i="1"/>
  <c r="G289" i="1"/>
  <c r="H289" i="1"/>
  <c r="G290" i="1"/>
  <c r="H290" i="1"/>
  <c r="G291" i="1"/>
  <c r="G292" i="1"/>
  <c r="G293" i="1"/>
  <c r="H293" i="1"/>
  <c r="G294" i="1"/>
  <c r="G295" i="1"/>
  <c r="H295" i="1"/>
  <c r="G296" i="1"/>
  <c r="G297" i="1"/>
  <c r="G298" i="1"/>
  <c r="H298" i="1"/>
  <c r="G299" i="1"/>
  <c r="G300" i="1"/>
  <c r="H300" i="1"/>
  <c r="G301" i="1"/>
  <c r="H301" i="1"/>
  <c r="G302" i="1"/>
  <c r="G303" i="1"/>
  <c r="G304" i="1"/>
  <c r="G305" i="1"/>
  <c r="H305" i="1"/>
  <c r="G306" i="1"/>
  <c r="H306" i="1"/>
  <c r="G307" i="1"/>
  <c r="G308" i="1"/>
  <c r="H308" i="1"/>
  <c r="G309" i="1"/>
  <c r="H309" i="1"/>
  <c r="G310" i="1"/>
  <c r="G311" i="1"/>
  <c r="G312" i="1"/>
  <c r="G313" i="1"/>
  <c r="G314" i="1"/>
  <c r="G315" i="1"/>
  <c r="G316" i="1"/>
  <c r="G317" i="1"/>
  <c r="H317" i="1"/>
  <c r="G318" i="1"/>
  <c r="G319" i="1"/>
  <c r="G320" i="1"/>
  <c r="H320" i="1"/>
  <c r="G321" i="1"/>
  <c r="H321" i="1"/>
  <c r="G322" i="1"/>
  <c r="H322" i="1"/>
  <c r="G323" i="1"/>
  <c r="G324" i="1"/>
  <c r="G325" i="1"/>
  <c r="H325" i="1"/>
  <c r="G326" i="1"/>
  <c r="G327" i="1"/>
  <c r="H327" i="1"/>
  <c r="G328" i="1"/>
  <c r="G329" i="1"/>
  <c r="G330" i="1"/>
  <c r="H330" i="1"/>
  <c r="G331" i="1"/>
  <c r="G332" i="1"/>
  <c r="H332" i="1"/>
  <c r="G333" i="1"/>
  <c r="H333" i="1"/>
  <c r="G334" i="1"/>
  <c r="G335" i="1"/>
  <c r="G336" i="1"/>
  <c r="G337" i="1"/>
  <c r="H337" i="1"/>
  <c r="G338" i="1"/>
  <c r="H338" i="1"/>
  <c r="G339" i="1"/>
  <c r="G340" i="1"/>
  <c r="H340" i="1"/>
  <c r="G341" i="1"/>
  <c r="H341" i="1"/>
  <c r="G342" i="1"/>
  <c r="G343" i="1"/>
  <c r="G344" i="1"/>
  <c r="G345" i="1"/>
  <c r="G346" i="1"/>
  <c r="G347" i="1"/>
  <c r="G348" i="1"/>
  <c r="G349" i="1"/>
  <c r="H349" i="1"/>
  <c r="G350" i="1"/>
  <c r="G351" i="1"/>
  <c r="G352" i="1"/>
  <c r="H352" i="1"/>
  <c r="G353" i="1"/>
  <c r="H353" i="1"/>
  <c r="G354" i="1"/>
  <c r="H354" i="1"/>
  <c r="G355" i="1"/>
  <c r="G356" i="1"/>
  <c r="G357" i="1"/>
  <c r="H357" i="1"/>
  <c r="G358" i="1"/>
  <c r="G359" i="1"/>
  <c r="H359" i="1"/>
  <c r="G360" i="1"/>
  <c r="G361" i="1"/>
  <c r="G362" i="1"/>
  <c r="H362" i="1"/>
  <c r="G363" i="1"/>
  <c r="G364" i="1"/>
  <c r="H364" i="1"/>
  <c r="G365" i="1"/>
  <c r="H365" i="1"/>
  <c r="G366" i="1"/>
  <c r="H14" i="1"/>
  <c r="H22" i="1"/>
  <c r="H38" i="1"/>
  <c r="H46" i="1"/>
  <c r="H54" i="1"/>
  <c r="H61" i="1"/>
  <c r="H62" i="1"/>
  <c r="H70" i="1"/>
  <c r="H78" i="1"/>
  <c r="H86" i="1"/>
  <c r="H93" i="1"/>
  <c r="H94" i="1"/>
  <c r="H102" i="1"/>
  <c r="H110" i="1"/>
  <c r="H118" i="1"/>
  <c r="H126" i="1"/>
  <c r="H134" i="1"/>
  <c r="H142" i="1"/>
  <c r="H150" i="1"/>
  <c r="H158" i="1"/>
  <c r="H166" i="1"/>
  <c r="H174" i="1"/>
  <c r="H182" i="1"/>
  <c r="H190" i="1"/>
  <c r="H198" i="1"/>
  <c r="H206" i="1"/>
  <c r="H214" i="1"/>
  <c r="H222" i="1"/>
  <c r="H230" i="1"/>
  <c r="H238" i="1"/>
  <c r="H246" i="1"/>
  <c r="H254" i="1"/>
  <c r="H262" i="1"/>
  <c r="H270" i="1"/>
  <c r="H278" i="1"/>
  <c r="H286" i="1"/>
  <c r="H294" i="1"/>
  <c r="H302" i="1"/>
  <c r="H310" i="1"/>
  <c r="H318" i="1"/>
  <c r="H326" i="1"/>
  <c r="H334" i="1"/>
  <c r="H342" i="1"/>
  <c r="H350" i="1"/>
  <c r="H358" i="1"/>
  <c r="H366" i="1"/>
  <c r="H34" i="1"/>
  <c r="H36" i="1"/>
  <c r="H39" i="1"/>
  <c r="H40" i="1"/>
  <c r="H41" i="1"/>
  <c r="H42" i="1"/>
  <c r="H43" i="1"/>
  <c r="H44" i="1"/>
  <c r="H47" i="1"/>
  <c r="H48" i="1"/>
  <c r="H50" i="1"/>
  <c r="H51" i="1"/>
  <c r="H55" i="1"/>
  <c r="H56" i="1"/>
  <c r="H57" i="1"/>
  <c r="H58" i="1"/>
  <c r="H59" i="1"/>
  <c r="H60" i="1"/>
  <c r="H63" i="1"/>
  <c r="H64" i="1"/>
  <c r="H66" i="1"/>
  <c r="H67" i="1"/>
  <c r="H68" i="1"/>
  <c r="H71" i="1"/>
  <c r="H72" i="1"/>
  <c r="H73" i="1"/>
  <c r="H74" i="1"/>
  <c r="H75" i="1"/>
  <c r="H76" i="1"/>
  <c r="H79" i="1"/>
  <c r="H80" i="1"/>
  <c r="H82" i="1"/>
  <c r="H83" i="1"/>
  <c r="H87" i="1"/>
  <c r="H88" i="1"/>
  <c r="H89" i="1"/>
  <c r="H90" i="1"/>
  <c r="H91" i="1"/>
  <c r="H92" i="1"/>
  <c r="H95" i="1"/>
  <c r="H96" i="1"/>
  <c r="H98" i="1"/>
  <c r="H99" i="1"/>
  <c r="H100" i="1"/>
  <c r="H104" i="1"/>
  <c r="H105" i="1"/>
  <c r="H106" i="1"/>
  <c r="H107" i="1"/>
  <c r="H108" i="1"/>
  <c r="H111" i="1"/>
  <c r="H112" i="1"/>
  <c r="H114" i="1"/>
  <c r="H115" i="1"/>
  <c r="H119" i="1"/>
  <c r="H120" i="1"/>
  <c r="H121" i="1"/>
  <c r="H122" i="1"/>
  <c r="H123" i="1"/>
  <c r="H124" i="1"/>
  <c r="H127" i="1"/>
  <c r="H128" i="1"/>
  <c r="H130" i="1"/>
  <c r="H131" i="1"/>
  <c r="H132" i="1"/>
  <c r="H136" i="1"/>
  <c r="H137" i="1"/>
  <c r="H139" i="1"/>
  <c r="H140" i="1"/>
  <c r="H143" i="1"/>
  <c r="H144" i="1"/>
  <c r="H146" i="1"/>
  <c r="H147" i="1"/>
  <c r="H151" i="1"/>
  <c r="H152" i="1"/>
  <c r="H154" i="1"/>
  <c r="H155" i="1"/>
  <c r="H156" i="1"/>
  <c r="H159" i="1"/>
  <c r="H160" i="1"/>
  <c r="H162" i="1"/>
  <c r="H163" i="1"/>
  <c r="H164" i="1"/>
  <c r="H168" i="1"/>
  <c r="H169" i="1"/>
  <c r="H171" i="1"/>
  <c r="H172" i="1"/>
  <c r="H175" i="1"/>
  <c r="H176" i="1"/>
  <c r="H178" i="1"/>
  <c r="H179" i="1"/>
  <c r="H183" i="1"/>
  <c r="H184" i="1"/>
  <c r="H185" i="1"/>
  <c r="H186" i="1"/>
  <c r="H187" i="1"/>
  <c r="H188" i="1"/>
  <c r="H191" i="1"/>
  <c r="H192" i="1"/>
  <c r="H194" i="1"/>
  <c r="H195" i="1"/>
  <c r="H196" i="1"/>
  <c r="H200" i="1"/>
  <c r="H201" i="1"/>
  <c r="H203" i="1"/>
  <c r="H204" i="1"/>
  <c r="H207" i="1"/>
  <c r="H208" i="1"/>
  <c r="H210" i="1"/>
  <c r="H211" i="1"/>
  <c r="H215" i="1"/>
  <c r="H216" i="1"/>
  <c r="H217" i="1"/>
  <c r="H218" i="1"/>
  <c r="H219" i="1"/>
  <c r="H220" i="1"/>
  <c r="H223" i="1"/>
  <c r="H224" i="1"/>
  <c r="H227" i="1"/>
  <c r="H228" i="1"/>
  <c r="H232" i="1"/>
  <c r="H233" i="1"/>
  <c r="H235" i="1"/>
  <c r="H236" i="1"/>
  <c r="H239" i="1"/>
  <c r="H240" i="1"/>
  <c r="H242" i="1"/>
  <c r="H243" i="1"/>
  <c r="H247" i="1"/>
  <c r="H248" i="1"/>
  <c r="H249" i="1"/>
  <c r="H250" i="1"/>
  <c r="H251" i="1"/>
  <c r="H252" i="1"/>
  <c r="H255" i="1"/>
  <c r="H256" i="1"/>
  <c r="H259" i="1"/>
  <c r="H260" i="1"/>
  <c r="H264" i="1"/>
  <c r="H265" i="1"/>
  <c r="H267" i="1"/>
  <c r="H271" i="1"/>
  <c r="H272" i="1"/>
  <c r="H275" i="1"/>
  <c r="H279" i="1"/>
  <c r="H280" i="1"/>
  <c r="H281" i="1"/>
  <c r="H282" i="1"/>
  <c r="H283" i="1"/>
  <c r="H284" i="1"/>
  <c r="H287" i="1"/>
  <c r="H291" i="1"/>
  <c r="H292" i="1"/>
  <c r="H296" i="1"/>
  <c r="H297" i="1"/>
  <c r="H299" i="1"/>
  <c r="H303" i="1"/>
  <c r="H304" i="1"/>
  <c r="H307" i="1"/>
  <c r="H311" i="1"/>
  <c r="H312" i="1"/>
  <c r="H313" i="1"/>
  <c r="H314" i="1"/>
  <c r="H315" i="1"/>
  <c r="H316" i="1"/>
  <c r="H319" i="1"/>
  <c r="H323" i="1"/>
  <c r="H324" i="1"/>
  <c r="H328" i="1"/>
  <c r="H329" i="1"/>
  <c r="H331" i="1"/>
  <c r="H335" i="1"/>
  <c r="H336" i="1"/>
  <c r="H339" i="1"/>
  <c r="H343" i="1"/>
  <c r="H344" i="1"/>
  <c r="H345" i="1"/>
  <c r="H346" i="1"/>
  <c r="H347" i="1"/>
  <c r="H348" i="1"/>
  <c r="H351" i="1"/>
  <c r="H355" i="1"/>
  <c r="H356" i="1"/>
  <c r="H360" i="1"/>
  <c r="H361" i="1"/>
  <c r="H363" i="1"/>
  <c r="H12" i="1"/>
  <c r="H18" i="1"/>
  <c r="H20" i="1"/>
  <c r="H26" i="1"/>
  <c r="H3" i="1"/>
  <c r="H4" i="1"/>
  <c r="H6" i="1"/>
  <c r="H7" i="1"/>
  <c r="H8" i="1"/>
  <c r="H9" i="1"/>
  <c r="H10" i="1"/>
  <c r="H11" i="1"/>
  <c r="H15" i="1"/>
  <c r="H16" i="1"/>
  <c r="H17" i="1"/>
  <c r="H19" i="1"/>
  <c r="H23" i="1"/>
  <c r="H24" i="1"/>
  <c r="H25" i="1"/>
  <c r="H27" i="1"/>
  <c r="H28" i="1"/>
  <c r="H30" i="1"/>
  <c r="H31" i="1"/>
  <c r="H2" i="1"/>
</calcChain>
</file>

<file path=xl/sharedStrings.xml><?xml version="1.0" encoding="utf-8"?>
<sst xmlns="http://schemas.openxmlformats.org/spreadsheetml/2006/main" count="442" uniqueCount="55">
  <si>
    <t>Data</t>
  </si>
  <si>
    <t>Dia da Semana</t>
  </si>
  <si>
    <t>Entrada 1</t>
  </si>
  <si>
    <t>Saída 1</t>
  </si>
  <si>
    <t>Entrada 2</t>
  </si>
  <si>
    <t>Saída 2</t>
  </si>
  <si>
    <t>Horas do Dia</t>
  </si>
  <si>
    <t>Valor do Dia (R$)</t>
  </si>
  <si>
    <t>Valor Hora</t>
  </si>
  <si>
    <t>Quinta-feira</t>
  </si>
  <si>
    <t>Sexta-feira</t>
  </si>
  <si>
    <t>Sábado</t>
  </si>
  <si>
    <t>Domingo</t>
  </si>
  <si>
    <t>Segunda-feira</t>
  </si>
  <si>
    <t>Terça-feira</t>
  </si>
  <si>
    <t>17:05</t>
  </si>
  <si>
    <t>21:10</t>
  </si>
  <si>
    <t>Quarta-feira</t>
  </si>
  <si>
    <t>16:10</t>
  </si>
  <si>
    <t>21:20</t>
  </si>
  <si>
    <t>16:40</t>
  </si>
  <si>
    <t>21:00</t>
  </si>
  <si>
    <t>09:20</t>
  </si>
  <si>
    <t>12:00</t>
  </si>
  <si>
    <t>13:30</t>
  </si>
  <si>
    <t>21:45</t>
  </si>
  <si>
    <t>17:00</t>
  </si>
  <si>
    <t>22:00</t>
  </si>
  <si>
    <t>21:15</t>
  </si>
  <si>
    <t>09:35</t>
  </si>
  <si>
    <t>21:13</t>
  </si>
  <si>
    <t>17:10</t>
  </si>
  <si>
    <t>22:05</t>
  </si>
  <si>
    <t>13:25</t>
  </si>
  <si>
    <t>16:20</t>
  </si>
  <si>
    <t>23:15</t>
  </si>
  <si>
    <t>16:50</t>
  </si>
  <si>
    <t>Soma de Valor do Dia (R$)</t>
  </si>
  <si>
    <t>Rótulos de Linha</t>
  </si>
  <si>
    <t>Soma de Horas do Dia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</si>
  <si>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</si>
  <si>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</si>
  <si>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</si>
  <si>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</si>
  <si>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</si>
  <si>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</si>
  <si>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</si>
  <si>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</si>
  <si>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</si>
  <si>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</si>
  <si>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</si>
  <si>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</si>
  <si>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Geral</t>
  </si>
  <si>
    <t xml:space="preserve">venda 22lr 500 munição 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</si>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</sst>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"/>
  </numFmts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8"/>
      <name val="Calibri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4" fontId="0" fillId="0" borderId="0" xfId="0" applyNumberFormat="1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5" fontId="0" fillId="0" borderId="0" xfId="0" applyNumberFormat="1"/>
    <xf numFmtId="0" fontId="0" fillId="2" borderId="0" xfId="0" applyFill="1"/>
    <xf numFmtId="15" fontId="2" fillId="2" borderId="0" xfId="0" applyNumberFormat="1" applyFont="1" applyFill="1"/>
    <xf numFmtId="0" fontId="0" fillId="3" borderId="0" xfId="0" applyFill="1"/>
    <xf numFmtId="4" fontId="0" fillId="3" borderId="0" xfId="0" applyNumberFormat="1" applyFill="1"/>
    <xf numFmtId="15" fontId="0" fillId="3" borderId="0" xfId="0" applyNumberFormat="1" applyFill="1"/>
    <xf numFmtId="0" fontId="4" fillId="3" borderId="0" xfId="0" applyFont="1" applyFill="1"/>
    <xf numFmtId="0" fontId="1" fillId="3" borderId="0" xfId="0" applyFont="1" applyFill="1"/>
    <xf numFmtId="15" fontId="2" fillId="4" borderId="0" xfId="0" applyNumberFormat="1" applyFont="1" applyFill="1"/>
    <xf numFmtId="165" fontId="0" fillId="0" borderId="0" xfId="0" applyNumberFormat="1"/>
    <xf numFmtId="0" fontId="1" fillId="3" borderId="0" xfId="0" applyFont="1" applyFill="1" applyAlignment="1">
      <alignment horizontal="left"/>
    </xf>
    <xf numFmtId="20" fontId="2" fillId="0" borderId="0" xfId="0" applyNumberFormat="1" applyFont="1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1" fillId="6" borderId="0" xfId="0" applyFont="1" applyFill="1"/>
  </cellXfs>
  <cellStyles count="1">
    <cellStyle name="Normal" xfId="0" builtinId="0"/>
  </cellStyles>
  <dxfs count="17">
    <dxf>
      <numFmt numFmtId="4" formatCode="#,##0.00"/>
    </dxf>
    <dxf>
      <numFmt numFmtId="164" formatCode="h:mm;@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0" formatCode="dd/mmm/yy"/>
      <fill>
        <patternFill patternType="solid">
          <fgColor indexed="64"/>
          <bgColor theme="3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00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pivotCacheDefinition" Target="pivotCache/pivotCacheDefinition1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pivotCacheDefinition" Target="pivotCache/pivotCacheDefinition2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[Controle_de_Horas_Trabalho-1.xlsx]Filtro!Tabela dinâmica4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Filtro!$F$3</c:f>
              <c:strCache>
                <c:ptCount val="1"/>
                <c:pt idx="0">
                  <c:v>Soma de Valor do Dia (R$)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Filtro!$E$4:$E$16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Filtro!$F$4:$F$16</c:f>
              <c:numCache>
                <c:formatCode>#,##0.00</c:formatCode>
                <c:ptCount val="12"/>
                <c:pt idx="0">
                  <c:v>1333</c:v>
                </c:pt>
                <c:pt idx="1">
                  <c:v>1271.2</c:v>
                </c:pt>
                <c:pt idx="2">
                  <c:v>1343.1999999999998</c:v>
                </c:pt>
                <c:pt idx="3">
                  <c:v>1193.6000000000001</c:v>
                </c:pt>
                <c:pt idx="4">
                  <c:v>1155.2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D-4A08-9778-FEC37E1B8BAF}"/>
            </c:ext>
          </c:extLst>
        </c:ser>
        <c:ser>
          <c:idx val="1"/>
          <c:order val="1"/>
          <c:tx>
            <c:strRef>
              <c:f>Filtro!$G$3</c:f>
              <c:strCache>
                <c:ptCount val="1"/>
                <c:pt idx="0">
                  <c:v>Soma de Horas do Dia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Filtro!$E$4:$E$16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Filtro!$G$4:$G$16</c:f>
              <c:numCache>
                <c:formatCode>[h]:mm</c:formatCode>
                <c:ptCount val="12"/>
                <c:pt idx="0">
                  <c:v>4.6284722222222232</c:v>
                </c:pt>
                <c:pt idx="1">
                  <c:v>4.4138888888888896</c:v>
                </c:pt>
                <c:pt idx="2">
                  <c:v>4.6638888888888888</c:v>
                </c:pt>
                <c:pt idx="3">
                  <c:v>4.1444444444444448</c:v>
                </c:pt>
                <c:pt idx="4">
                  <c:v>4.0111111111111111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DD-4A08-9778-FEC37E1B8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shape val="box"/>
        <c:axId val="1438016720"/>
        <c:axId val="1438017200"/>
        <c:axId val="0"/>
      </c:bar3DChart>
      <c:catAx>
        <c:axId val="143801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017200"/>
        <c:crosses val="autoZero"/>
        <c:auto val="1"/>
        <c:lblAlgn val="ctr"/>
        <c:lblOffset val="100"/>
        <c:noMultiLvlLbl val="0"/>
      </c:catAx>
      <c:valAx>
        <c:axId val="14380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01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267955</xdr:colOff>
      <xdr:row>17</xdr:row>
      <xdr:rowOff>4812</xdr:rowOff>
    </xdr:from>
    <xdr:to>
      <xdr:col>11</xdr:col>
      <xdr:colOff>62459</xdr:colOff>
      <xdr:row>35</xdr:row>
      <xdr:rowOff>62458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58F394-FF43-06D1-4419-481E259BF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172.611348611113" createdVersion="8" refreshedVersion="8" minRefreshableVersion="3" recordCount="365" xr:uid="{E6EC6C1A-5A8F-4C99-99A9-DCF4C41F0F9D}">
  <cacheSource type="worksheet">
    <worksheetSource name="Tabela2"/>
  </cacheSource>
  <cacheFields count="10">
    <cacheField name="Data" numFmtId="15">
      <sharedItems containsSemiMixedTypes="0" containsNonDate="0" containsDate="1" containsString="0" minDate="2026-01-01T00:00:00" maxDate="2027-01-0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</cacheField>
    <cacheField name="Dia da Semana" numFmtId="0">
      <sharedItems count="7">
        <s v="Quinta-feira"/>
        <s v="Sexta-feira"/>
        <s v="Sábado"/>
        <s v="Domingo"/>
        <s v="Segunda-feira"/>
        <s v="Terça-feira"/>
        <s v="Quarta-feira"/>
      </sharedItems>
    </cacheField>
    <cacheField name="Entrada 1" numFmtId="0">
      <sharedItems containsDate="1" containsBlank="1" containsMixedTypes="1" minDate="1899-12-30T08:38:00" maxDate="1899-12-30T17:55:00"/>
    </cacheField>
    <cacheField name="Saída 1" numFmtId="0">
      <sharedItems containsDate="1" containsBlank="1" containsMixedTypes="1" minDate="1899-12-30T12:00:00" maxDate="1899-12-30T23:00:00"/>
    </cacheField>
    <cacheField name="Entrada 2" numFmtId="0">
      <sharedItems containsDate="1" containsBlank="1" containsMixedTypes="1" minDate="1899-12-30T13:25:00" maxDate="1899-12-30T15:30:00"/>
    </cacheField>
    <cacheField name="Saída 2" numFmtId="0">
      <sharedItems containsDate="1" containsBlank="1" containsMixedTypes="1" minDate="1899-12-30T17:37:00" maxDate="1899-12-30T22:50:00"/>
    </cacheField>
    <cacheField name="Horas do Dia" numFmtId="164">
      <sharedItems containsSemiMixedTypes="0" containsNonDate="0" containsDate="1" containsString="0" minDate="1899-12-30T00:00:00" maxDate="1899-12-31T00:00:00"/>
    </cacheField>
    <cacheField name="Valor do Dia (R$)" numFmtId="4">
      <sharedItems containsSemiMixedTypes="0" containsString="0" containsNumber="1" minValue="0" maxValue="149.99999999999997"/>
    </cacheField>
    <cacheField name="Valor Hora" numFmtId="0">
      <sharedItems containsString="0" containsBlank="1" containsNumber="1" containsInteger="1" minValue="12" maxValue="12"/>
    </cacheField>
    <cacheField name="Colu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172.612803356482" createdVersion="8" refreshedVersion="8" minRefreshableVersion="3" recordCount="365" xr:uid="{F33D82AD-6D23-4BCC-8394-2D2CE17FFE4A}">
  <cacheSource type="worksheet">
    <worksheetSource ref="A1:H366" sheet="Controle de Horas"/>
  </cacheSource>
  <cacheFields count="10">
    <cacheField name="Data" numFmtId="15">
      <sharedItems containsSemiMixedTypes="0" containsNonDate="0" containsDate="1" containsString="0" minDate="2026-01-01T00:00:00" maxDate="2027-01-0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9"/>
    </cacheField>
    <cacheField name="Dia da Semana" numFmtId="0">
      <sharedItems/>
    </cacheField>
    <cacheField name="Entrada 1" numFmtId="0">
      <sharedItems containsDate="1" containsBlank="1" containsMixedTypes="1" minDate="1899-12-30T08:38:00" maxDate="1899-12-30T17:55:00"/>
    </cacheField>
    <cacheField name="Saída 1" numFmtId="0">
      <sharedItems containsDate="1" containsBlank="1" containsMixedTypes="1" minDate="1899-12-30T12:00:00" maxDate="1899-12-30T23:00:00"/>
    </cacheField>
    <cacheField name="Entrada 2" numFmtId="0">
      <sharedItems containsDate="1" containsBlank="1" containsMixedTypes="1" minDate="1899-12-30T13:25:00" maxDate="1899-12-30T15:30:00"/>
    </cacheField>
    <cacheField name="Saída 2" numFmtId="0">
      <sharedItems containsDate="1" containsBlank="1" containsMixedTypes="1" minDate="1899-12-30T17:37:00" maxDate="1899-12-30T22:50:00"/>
    </cacheField>
    <cacheField name="Horas do Dia" numFmtId="164">
      <sharedItems containsSemiMixedTypes="0" containsNonDate="0" containsDate="1" containsString="0" minDate="1899-12-30T00:00:00" maxDate="1899-12-31T00:00:00"/>
    </cacheField>
    <cacheField name="Valor do Dia (R$)" numFmtId="4">
      <sharedItems containsSemiMixedTypes="0" containsString="0" containsNumber="1" minValue="0" maxValue="149.99999999999997"/>
    </cacheField>
    <cacheField name="Dias (Data)" numFmtId="0" databaseField="0">
      <fieldGroup base="0">
        <rangePr groupBy="days" startDate="2026-01-01T00:00:00" endDate="2027-01-01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7"/>
        </groupItems>
      </fieldGroup>
    </cacheField>
    <cacheField name="Meses (Data)" numFmtId="0" databaseField="0">
      <fieldGroup base="0">
        <rangePr groupBy="months" startDate="2026-01-01T00:00:00" endDate="2027-01-01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x v="0"/>
    <m/>
    <m/>
    <m/>
    <m/>
    <d v="1899-12-30T00:00:00"/>
    <n v="0"/>
    <n v="12"/>
    <m/>
  </r>
  <r>
    <x v="1"/>
    <x v="1"/>
    <m/>
    <m/>
    <m/>
    <m/>
    <d v="1899-12-30T00:00:00"/>
    <n v="0"/>
    <m/>
    <m/>
  </r>
  <r>
    <x v="2"/>
    <x v="2"/>
    <m/>
    <m/>
    <m/>
    <m/>
    <d v="1899-12-30T00:00:00"/>
    <n v="0"/>
    <m/>
    <m/>
  </r>
  <r>
    <x v="3"/>
    <x v="3"/>
    <m/>
    <m/>
    <m/>
    <m/>
    <d v="1899-12-30T00:00:00"/>
    <n v="0"/>
    <m/>
    <m/>
  </r>
  <r>
    <x v="4"/>
    <x v="4"/>
    <m/>
    <m/>
    <m/>
    <m/>
    <d v="1899-12-30T00:00:00"/>
    <n v="0"/>
    <m/>
    <m/>
  </r>
  <r>
    <x v="5"/>
    <x v="5"/>
    <s v="17:05"/>
    <s v="21:10"/>
    <m/>
    <m/>
    <d v="1899-12-30T04:05:00"/>
    <n v="48.999999999999986"/>
    <m/>
    <m/>
  </r>
  <r>
    <x v="6"/>
    <x v="6"/>
    <s v="16:10"/>
    <s v="21:20"/>
    <m/>
    <m/>
    <d v="1899-12-30T05:10:00"/>
    <n v="61.999999999999972"/>
    <m/>
    <m/>
  </r>
  <r>
    <x v="7"/>
    <x v="0"/>
    <s v="16:40"/>
    <s v="21:00"/>
    <m/>
    <m/>
    <d v="1899-12-30T04:20:00"/>
    <n v="52.000000000000007"/>
    <m/>
    <m/>
  </r>
  <r>
    <x v="8"/>
    <x v="1"/>
    <s v="17:05"/>
    <s v="21:00"/>
    <m/>
    <m/>
    <d v="1899-12-30T03:55:00"/>
    <n v="46.999999999999993"/>
    <m/>
    <m/>
  </r>
  <r>
    <x v="9"/>
    <x v="2"/>
    <s v="09:20"/>
    <s v="12:00"/>
    <s v="13:30"/>
    <s v="21:45"/>
    <d v="1899-12-30T10:55:00"/>
    <n v="131"/>
    <m/>
    <m/>
  </r>
  <r>
    <x v="10"/>
    <x v="3"/>
    <m/>
    <m/>
    <m/>
    <m/>
    <d v="1899-12-30T00:00:00"/>
    <n v="0"/>
    <m/>
    <m/>
  </r>
  <r>
    <x v="11"/>
    <x v="4"/>
    <m/>
    <m/>
    <m/>
    <m/>
    <d v="1899-12-30T00:00:00"/>
    <n v="0"/>
    <m/>
    <m/>
  </r>
  <r>
    <x v="12"/>
    <x v="5"/>
    <s v="17:05"/>
    <s v="21:00"/>
    <m/>
    <m/>
    <d v="1899-12-30T03:55:00"/>
    <n v="46.999999999999993"/>
    <m/>
    <m/>
  </r>
  <r>
    <x v="13"/>
    <x v="6"/>
    <s v="17:00"/>
    <s v="21:00"/>
    <m/>
    <m/>
    <d v="1899-12-30T04:00:00"/>
    <n v="47.999999999999986"/>
    <m/>
    <m/>
  </r>
  <r>
    <x v="14"/>
    <x v="0"/>
    <s v="17:05"/>
    <s v="22:00"/>
    <m/>
    <m/>
    <d v="1899-12-30T04:55:00"/>
    <n v="58.999999999999986"/>
    <m/>
    <m/>
  </r>
  <r>
    <x v="15"/>
    <x v="1"/>
    <s v="17:00"/>
    <s v="21:15"/>
    <m/>
    <m/>
    <d v="1899-12-30T04:15:00"/>
    <n v="50.999999999999979"/>
    <m/>
    <m/>
  </r>
  <r>
    <x v="16"/>
    <x v="2"/>
    <s v="09:35"/>
    <s v="12:00"/>
    <s v="13:30"/>
    <s v="21:13"/>
    <d v="1899-12-30T10:08:00"/>
    <n v="121.6"/>
    <m/>
    <m/>
  </r>
  <r>
    <x v="17"/>
    <x v="3"/>
    <m/>
    <m/>
    <m/>
    <m/>
    <d v="1899-12-30T00:00:00"/>
    <n v="0"/>
    <m/>
    <m/>
  </r>
  <r>
    <x v="18"/>
    <x v="4"/>
    <m/>
    <m/>
    <m/>
    <m/>
    <d v="1899-12-30T00:00:00"/>
    <n v="0"/>
    <m/>
    <m/>
  </r>
  <r>
    <x v="19"/>
    <x v="5"/>
    <s v="17:05"/>
    <s v="21:15"/>
    <m/>
    <m/>
    <d v="1899-12-30T04:10:00"/>
    <n v="49.999999999999986"/>
    <m/>
    <m/>
  </r>
  <r>
    <x v="20"/>
    <x v="6"/>
    <s v="17:10"/>
    <s v="22:05"/>
    <m/>
    <m/>
    <d v="1899-12-30T04:55:00"/>
    <n v="58.999999999999986"/>
    <m/>
    <m/>
  </r>
  <r>
    <x v="21"/>
    <x v="0"/>
    <s v="17:05"/>
    <s v="21:00"/>
    <m/>
    <m/>
    <d v="1899-12-30T03:55:00"/>
    <n v="46.999999999999993"/>
    <m/>
    <m/>
  </r>
  <r>
    <x v="22"/>
    <x v="1"/>
    <s v="17:05"/>
    <s v="21:20"/>
    <m/>
    <m/>
    <d v="1899-12-30T04:15:00"/>
    <n v="50.999999999999979"/>
    <m/>
    <m/>
  </r>
  <r>
    <x v="23"/>
    <x v="2"/>
    <s v="13:25"/>
    <s v="21:10"/>
    <m/>
    <m/>
    <d v="1899-12-30T07:45:00"/>
    <n v="92.999999999999986"/>
    <m/>
    <m/>
  </r>
  <r>
    <x v="24"/>
    <x v="3"/>
    <m/>
    <m/>
    <m/>
    <m/>
    <d v="1899-12-30T00:00:00"/>
    <n v="0"/>
    <m/>
    <m/>
  </r>
  <r>
    <x v="25"/>
    <x v="4"/>
    <m/>
    <m/>
    <m/>
    <m/>
    <d v="1899-12-30T00:00:00"/>
    <n v="0"/>
    <m/>
    <m/>
  </r>
  <r>
    <x v="26"/>
    <x v="5"/>
    <s v="16:20"/>
    <s v="23:15"/>
    <m/>
    <m/>
    <d v="1899-12-30T06:55:00"/>
    <n v="83"/>
    <m/>
    <m/>
  </r>
  <r>
    <x v="27"/>
    <x v="6"/>
    <s v="17:05"/>
    <s v="21:45"/>
    <m/>
    <m/>
    <d v="1899-12-30T04:40:00"/>
    <n v="55.999999999999993"/>
    <m/>
    <m/>
  </r>
  <r>
    <x v="28"/>
    <x v="0"/>
    <s v="16:50"/>
    <d v="1899-12-30T21:00:00"/>
    <m/>
    <m/>
    <d v="1899-12-30T04:10:00"/>
    <n v="50.000000000000014"/>
    <m/>
    <m/>
  </r>
  <r>
    <x v="29"/>
    <x v="1"/>
    <d v="1899-12-30T17:08:00"/>
    <d v="1899-12-30T21:50:00"/>
    <m/>
    <m/>
    <d v="1899-12-30T04:42:00"/>
    <n v="56.399999999999991"/>
    <m/>
    <m/>
  </r>
  <r>
    <x v="30"/>
    <x v="2"/>
    <d v="1899-12-30T09:35:00"/>
    <d v="1899-12-30T12:00:00"/>
    <d v="1899-12-30T13:25:00"/>
    <d v="1899-12-30T21:00:00"/>
    <d v="1899-12-30T10:00:00"/>
    <n v="120"/>
    <m/>
    <m/>
  </r>
  <r>
    <x v="31"/>
    <x v="3"/>
    <m/>
    <m/>
    <m/>
    <m/>
    <d v="1899-12-30T00:00:00"/>
    <n v="0"/>
    <m/>
    <m/>
  </r>
  <r>
    <x v="32"/>
    <x v="4"/>
    <m/>
    <m/>
    <m/>
    <m/>
    <d v="1899-12-30T00:00:00"/>
    <n v="0"/>
    <m/>
    <m/>
  </r>
  <r>
    <x v="33"/>
    <x v="5"/>
    <m/>
    <m/>
    <m/>
    <m/>
    <d v="1899-12-30T00:00:00"/>
    <n v="0"/>
    <m/>
    <m/>
  </r>
  <r>
    <x v="34"/>
    <x v="6"/>
    <d v="1899-12-30T17:25:00"/>
    <d v="1899-12-30T21:00:00"/>
    <m/>
    <m/>
    <d v="1899-12-30T03:35:00"/>
    <n v="43.000000000000007"/>
    <m/>
    <m/>
  </r>
  <r>
    <x v="35"/>
    <x v="0"/>
    <d v="1899-12-30T17:05:00"/>
    <d v="1899-12-30T21:00:00"/>
    <m/>
    <m/>
    <d v="1899-12-30T03:55:00"/>
    <n v="46.999999999999993"/>
    <m/>
    <m/>
  </r>
  <r>
    <x v="36"/>
    <x v="1"/>
    <d v="1899-12-30T17:00:00"/>
    <d v="1899-12-30T21:15:00"/>
    <m/>
    <m/>
    <d v="1899-12-30T04:15:00"/>
    <n v="50.999999999999979"/>
    <m/>
    <m/>
  </r>
  <r>
    <x v="37"/>
    <x v="2"/>
    <d v="1899-12-30T08:45:00"/>
    <d v="1899-12-30T12:00:00"/>
    <d v="1899-12-30T13:40:00"/>
    <d v="1899-12-30T21:00:00"/>
    <d v="1899-12-30T10:35:00"/>
    <n v="127"/>
    <m/>
    <m/>
  </r>
  <r>
    <x v="38"/>
    <x v="3"/>
    <m/>
    <m/>
    <m/>
    <m/>
    <d v="1899-12-30T00:00:00"/>
    <n v="0"/>
    <m/>
    <m/>
  </r>
  <r>
    <x v="39"/>
    <x v="4"/>
    <m/>
    <m/>
    <m/>
    <m/>
    <d v="1899-12-30T00:00:00"/>
    <n v="0"/>
    <m/>
    <m/>
  </r>
  <r>
    <x v="40"/>
    <x v="5"/>
    <d v="1899-12-30T17:00:00"/>
    <d v="1899-12-30T21:40:00"/>
    <m/>
    <m/>
    <d v="1899-12-30T04:40:00"/>
    <n v="55.999999999999993"/>
    <m/>
    <m/>
  </r>
  <r>
    <x v="41"/>
    <x v="6"/>
    <d v="1899-12-30T17:00:00"/>
    <d v="1899-12-30T22:05:00"/>
    <m/>
    <m/>
    <d v="1899-12-30T05:05:00"/>
    <n v="60.999999999999972"/>
    <m/>
    <m/>
  </r>
  <r>
    <x v="42"/>
    <x v="0"/>
    <d v="1899-12-30T17:05:00"/>
    <d v="1899-12-30T21:30:00"/>
    <m/>
    <m/>
    <d v="1899-12-30T04:25:00"/>
    <n v="53"/>
    <m/>
    <m/>
  </r>
  <r>
    <x v="43"/>
    <x v="1"/>
    <d v="1899-12-30T17:05:00"/>
    <d v="1899-12-30T21:25:00"/>
    <m/>
    <m/>
    <d v="1899-12-30T04:20:00"/>
    <n v="52.000000000000007"/>
    <m/>
    <m/>
  </r>
  <r>
    <x v="44"/>
    <x v="2"/>
    <d v="1899-12-30T08:50:00"/>
    <d v="1899-12-30T12:00:00"/>
    <d v="1899-12-30T13:35:00"/>
    <d v="1899-12-30T21:00:00"/>
    <d v="1899-12-30T10:35:00"/>
    <n v="126.99999999999999"/>
    <m/>
    <m/>
  </r>
  <r>
    <x v="45"/>
    <x v="3"/>
    <m/>
    <m/>
    <m/>
    <m/>
    <d v="1899-12-30T00:00:00"/>
    <n v="0"/>
    <m/>
    <m/>
  </r>
  <r>
    <x v="46"/>
    <x v="4"/>
    <m/>
    <m/>
    <m/>
    <m/>
    <d v="1899-12-30T00:00:00"/>
    <n v="0"/>
    <m/>
    <m/>
  </r>
  <r>
    <x v="47"/>
    <x v="5"/>
    <m/>
    <m/>
    <m/>
    <m/>
    <d v="1899-12-30T00:00:00"/>
    <n v="0"/>
    <m/>
    <m/>
  </r>
  <r>
    <x v="48"/>
    <x v="6"/>
    <m/>
    <m/>
    <m/>
    <m/>
    <d v="1899-12-30T00:00:00"/>
    <n v="0"/>
    <m/>
    <m/>
  </r>
  <r>
    <x v="49"/>
    <x v="0"/>
    <d v="1899-12-30T17:00:00"/>
    <d v="1899-12-30T21:00:00"/>
    <m/>
    <m/>
    <d v="1899-12-30T04:00:00"/>
    <n v="47.999999999999986"/>
    <m/>
    <m/>
  </r>
  <r>
    <x v="50"/>
    <x v="1"/>
    <d v="1899-12-30T16:55:00"/>
    <d v="1899-12-30T21:30:00"/>
    <m/>
    <m/>
    <d v="1899-12-30T04:35:00"/>
    <n v="55"/>
    <m/>
    <m/>
  </r>
  <r>
    <x v="51"/>
    <x v="2"/>
    <d v="1899-12-30T08:40:00"/>
    <d v="1899-12-30T12:00:00"/>
    <d v="1899-12-30T13:40:00"/>
    <d v="1899-12-30T21:15:00"/>
    <d v="1899-12-30T10:55:00"/>
    <n v="131"/>
    <m/>
    <m/>
  </r>
  <r>
    <x v="52"/>
    <x v="3"/>
    <m/>
    <m/>
    <m/>
    <m/>
    <d v="1899-12-30T00:00:00"/>
    <n v="0"/>
    <m/>
    <m/>
  </r>
  <r>
    <x v="53"/>
    <x v="4"/>
    <m/>
    <m/>
    <m/>
    <m/>
    <d v="1899-12-30T00:00:00"/>
    <n v="0"/>
    <m/>
    <m/>
  </r>
  <r>
    <x v="54"/>
    <x v="5"/>
    <d v="1899-12-30T16:15:00"/>
    <d v="1899-12-30T22:50:00"/>
    <m/>
    <m/>
    <d v="1899-12-30T06:35:00"/>
    <n v="78.999999999999972"/>
    <m/>
    <m/>
  </r>
  <r>
    <x v="55"/>
    <x v="6"/>
    <d v="1899-12-30T16:55:00"/>
    <d v="1899-12-30T22:30:00"/>
    <m/>
    <m/>
    <d v="1899-12-30T05:35:00"/>
    <n v="66.999999999999986"/>
    <m/>
    <m/>
  </r>
  <r>
    <x v="56"/>
    <x v="0"/>
    <d v="1899-12-30T17:05:00"/>
    <d v="1899-12-30T21:45:00"/>
    <m/>
    <m/>
    <d v="1899-12-30T04:40:00"/>
    <n v="55.999999999999993"/>
    <m/>
    <m/>
  </r>
  <r>
    <x v="57"/>
    <x v="1"/>
    <d v="1899-12-30T17:15:00"/>
    <d v="1899-12-30T22:56:00"/>
    <m/>
    <m/>
    <d v="1899-12-30T05:41:00"/>
    <n v="68.200000000000017"/>
    <m/>
    <m/>
  </r>
  <r>
    <x v="58"/>
    <x v="2"/>
    <d v="1899-12-30T08:50:00"/>
    <d v="1899-12-30T12:00:00"/>
    <d v="1899-12-30T13:30:00"/>
    <d v="1899-12-30T22:50:00"/>
    <d v="1899-12-30T12:30:00"/>
    <n v="149.99999999999997"/>
    <m/>
    <m/>
  </r>
  <r>
    <x v="59"/>
    <x v="3"/>
    <m/>
    <m/>
    <m/>
    <m/>
    <d v="1899-12-30T00:00:00"/>
    <n v="0"/>
    <m/>
    <m/>
  </r>
  <r>
    <x v="60"/>
    <x v="4"/>
    <m/>
    <m/>
    <m/>
    <m/>
    <d v="1899-12-30T00:00:00"/>
    <n v="0"/>
    <m/>
    <m/>
  </r>
  <r>
    <x v="61"/>
    <x v="5"/>
    <m/>
    <m/>
    <m/>
    <m/>
    <d v="1899-12-30T00:00:00"/>
    <n v="0"/>
    <m/>
    <m/>
  </r>
  <r>
    <x v="62"/>
    <x v="6"/>
    <d v="1899-12-30T17:15:00"/>
    <d v="1899-12-30T21:05:00"/>
    <m/>
    <m/>
    <d v="1899-12-30T03:50:00"/>
    <n v="46"/>
    <m/>
    <m/>
  </r>
  <r>
    <x v="63"/>
    <x v="0"/>
    <d v="1899-12-30T17:10:00"/>
    <d v="1899-12-30T21:10:00"/>
    <m/>
    <m/>
    <d v="1899-12-30T04:00:00"/>
    <n v="47.999999999999986"/>
    <m/>
    <m/>
  </r>
  <r>
    <x v="64"/>
    <x v="1"/>
    <d v="1899-12-30T17:28:00"/>
    <d v="1899-12-30T21:00:00"/>
    <m/>
    <m/>
    <d v="1899-12-30T03:32:00"/>
    <n v="42.400000000000006"/>
    <m/>
    <m/>
  </r>
  <r>
    <x v="65"/>
    <x v="2"/>
    <d v="1899-12-30T09:05:00"/>
    <d v="1899-12-30T12:00:00"/>
    <d v="1899-12-30T13:45:00"/>
    <d v="1899-12-30T21:58:00"/>
    <d v="1899-12-30T11:08:00"/>
    <n v="133.6"/>
    <m/>
    <m/>
  </r>
  <r>
    <x v="66"/>
    <x v="3"/>
    <m/>
    <m/>
    <m/>
    <m/>
    <d v="1899-12-30T00:00:00"/>
    <n v="0"/>
    <m/>
    <m/>
  </r>
  <r>
    <x v="67"/>
    <x v="4"/>
    <m/>
    <m/>
    <m/>
    <m/>
    <d v="1899-12-30T00:00:00"/>
    <n v="0"/>
    <m/>
    <m/>
  </r>
  <r>
    <x v="68"/>
    <x v="5"/>
    <d v="1899-12-30T17:30:00"/>
    <d v="1899-12-30T22:30:00"/>
    <m/>
    <m/>
    <d v="1899-12-30T05:00:00"/>
    <n v="60.000000000000014"/>
    <m/>
    <m/>
  </r>
  <r>
    <x v="69"/>
    <x v="6"/>
    <d v="1899-12-30T17:30:00"/>
    <d v="1899-12-30T22:10:00"/>
    <m/>
    <m/>
    <d v="1899-12-30T04:40:00"/>
    <n v="56.000000000000028"/>
    <m/>
    <m/>
  </r>
  <r>
    <x v="70"/>
    <x v="0"/>
    <d v="1899-12-30T17:20:00"/>
    <d v="1899-12-30T21:05:00"/>
    <m/>
    <m/>
    <d v="1899-12-30T03:45:00"/>
    <n v="45"/>
    <m/>
    <m/>
  </r>
  <r>
    <x v="71"/>
    <x v="1"/>
    <d v="1899-12-30T17:30:00"/>
    <d v="1899-12-30T22:00:00"/>
    <m/>
    <m/>
    <d v="1899-12-30T04:30:00"/>
    <n v="54"/>
    <m/>
    <m/>
  </r>
  <r>
    <x v="72"/>
    <x v="2"/>
    <d v="1899-12-30T08:40:00"/>
    <d v="1899-12-30T12:05:00"/>
    <d v="1899-12-30T13:30:00"/>
    <d v="1899-12-30T21:00:00"/>
    <d v="1899-12-30T10:55:00"/>
    <n v="131"/>
    <m/>
    <m/>
  </r>
  <r>
    <x v="73"/>
    <x v="3"/>
    <m/>
    <m/>
    <m/>
    <m/>
    <d v="1899-12-30T00:00:00"/>
    <n v="0"/>
    <m/>
    <m/>
  </r>
  <r>
    <x v="74"/>
    <x v="4"/>
    <m/>
    <m/>
    <m/>
    <m/>
    <d v="1899-12-30T00:00:00"/>
    <n v="0"/>
    <m/>
    <m/>
  </r>
  <r>
    <x v="75"/>
    <x v="5"/>
    <d v="1899-12-30T17:25:00"/>
    <d v="1899-12-30T21:55:00"/>
    <m/>
    <m/>
    <d v="1899-12-30T04:30:00"/>
    <n v="54"/>
    <m/>
    <m/>
  </r>
  <r>
    <x v="76"/>
    <x v="6"/>
    <d v="1899-12-30T17:15:00"/>
    <d v="1899-12-30T21:25:00"/>
    <m/>
    <m/>
    <d v="1899-12-30T04:10:00"/>
    <n v="50.000000000000014"/>
    <m/>
    <m/>
  </r>
  <r>
    <x v="77"/>
    <x v="0"/>
    <d v="1899-12-30T17:20:00"/>
    <d v="1899-12-30T21:20:00"/>
    <m/>
    <m/>
    <d v="1899-12-30T04:00:00"/>
    <n v="47.999999999999986"/>
    <m/>
    <m/>
  </r>
  <r>
    <x v="78"/>
    <x v="1"/>
    <d v="1899-12-30T17:25:00"/>
    <d v="1899-12-30T22:10:00"/>
    <m/>
    <m/>
    <d v="1899-12-30T04:45:00"/>
    <n v="57.000000000000021"/>
    <m/>
    <m/>
  </r>
  <r>
    <x v="79"/>
    <x v="2"/>
    <d v="1899-12-30T08:40:00"/>
    <d v="1899-12-30T12:00:00"/>
    <d v="1899-12-30T13:35:00"/>
    <d v="1899-12-30T22:00:00"/>
    <d v="1899-12-30T11:45:00"/>
    <n v="141"/>
    <m/>
    <m/>
  </r>
  <r>
    <x v="80"/>
    <x v="3"/>
    <m/>
    <m/>
    <m/>
    <m/>
    <d v="1899-12-30T00:00:00"/>
    <n v="0"/>
    <m/>
    <m/>
  </r>
  <r>
    <x v="81"/>
    <x v="4"/>
    <m/>
    <m/>
    <m/>
    <m/>
    <d v="1899-12-30T00:00:00"/>
    <n v="0"/>
    <m/>
    <m/>
  </r>
  <r>
    <x v="82"/>
    <x v="5"/>
    <d v="1899-12-30T17:40:00"/>
    <d v="1899-12-30T21:15:00"/>
    <m/>
    <m/>
    <d v="1899-12-30T03:35:00"/>
    <n v="42.999999999999972"/>
    <m/>
    <m/>
  </r>
  <r>
    <x v="83"/>
    <x v="6"/>
    <d v="1899-12-30T17:30:00"/>
    <d v="1899-12-30T21:20:00"/>
    <m/>
    <m/>
    <d v="1899-12-30T03:50:00"/>
    <n v="46"/>
    <m/>
    <m/>
  </r>
  <r>
    <x v="84"/>
    <x v="0"/>
    <d v="1899-12-30T17:17:00"/>
    <d v="1899-12-30T21:00:00"/>
    <m/>
    <m/>
    <d v="1899-12-30T03:43:00"/>
    <n v="44.6"/>
    <m/>
    <m/>
  </r>
  <r>
    <x v="85"/>
    <x v="1"/>
    <d v="1899-12-30T17:25:00"/>
    <d v="1899-12-30T21:35:00"/>
    <m/>
    <m/>
    <d v="1899-12-30T04:10:00"/>
    <n v="50.000000000000014"/>
    <m/>
    <m/>
  </r>
  <r>
    <x v="86"/>
    <x v="2"/>
    <d v="1899-12-30T08:45:00"/>
    <d v="1899-12-30T12:00:00"/>
    <d v="1899-12-30T13:37:00"/>
    <d v="1899-12-30T21:00:00"/>
    <d v="1899-12-30T10:38:00"/>
    <n v="127.60000000000002"/>
    <m/>
    <m/>
  </r>
  <r>
    <x v="87"/>
    <x v="3"/>
    <m/>
    <m/>
    <m/>
    <m/>
    <d v="1899-12-30T00:00:00"/>
    <n v="0"/>
    <m/>
    <m/>
  </r>
  <r>
    <x v="88"/>
    <x v="4"/>
    <m/>
    <m/>
    <m/>
    <m/>
    <d v="1899-12-30T00:00:00"/>
    <n v="0"/>
    <m/>
    <m/>
  </r>
  <r>
    <x v="89"/>
    <x v="5"/>
    <d v="1899-12-30T16:35:00"/>
    <d v="1899-12-30T22:05:00"/>
    <m/>
    <m/>
    <d v="1899-12-30T05:30:00"/>
    <n v="65.999999999999986"/>
    <m/>
    <m/>
  </r>
  <r>
    <x v="90"/>
    <x v="6"/>
    <d v="1899-12-30T17:10:00"/>
    <d v="1899-12-30T21:00:00"/>
    <m/>
    <m/>
    <d v="1899-12-30T03:50:00"/>
    <n v="46"/>
    <m/>
    <m/>
  </r>
  <r>
    <x v="91"/>
    <x v="0"/>
    <d v="1899-12-30T17:17:00"/>
    <d v="1899-12-30T21:08:00"/>
    <m/>
    <m/>
    <d v="1899-12-30T03:51:00"/>
    <n v="46.199999999999996"/>
    <m/>
    <m/>
  </r>
  <r>
    <x v="92"/>
    <x v="1"/>
    <m/>
    <m/>
    <m/>
    <m/>
    <d v="1899-12-30T00:00:00"/>
    <n v="0"/>
    <m/>
    <m/>
  </r>
  <r>
    <x v="93"/>
    <x v="2"/>
    <m/>
    <m/>
    <m/>
    <m/>
    <d v="1899-12-30T00:00:00"/>
    <n v="0"/>
    <m/>
    <m/>
  </r>
  <r>
    <x v="94"/>
    <x v="3"/>
    <m/>
    <m/>
    <m/>
    <m/>
    <d v="1899-12-30T00:00:00"/>
    <n v="0"/>
    <m/>
    <m/>
  </r>
  <r>
    <x v="95"/>
    <x v="4"/>
    <m/>
    <m/>
    <m/>
    <m/>
    <d v="1899-12-30T00:00:00"/>
    <n v="0"/>
    <m/>
    <m/>
  </r>
  <r>
    <x v="96"/>
    <x v="5"/>
    <d v="1899-12-30T17:24:00"/>
    <d v="1899-12-30T21:40:00"/>
    <m/>
    <m/>
    <d v="1899-12-30T04:16:00"/>
    <n v="51.20000000000001"/>
    <m/>
    <m/>
  </r>
  <r>
    <x v="97"/>
    <x v="6"/>
    <d v="1899-12-30T17:08:00"/>
    <d v="1899-12-30T21:00:00"/>
    <m/>
    <m/>
    <d v="1899-12-30T03:52:00"/>
    <n v="46.399999999999991"/>
    <m/>
    <m/>
  </r>
  <r>
    <x v="98"/>
    <x v="0"/>
    <d v="1899-12-30T17:25:00"/>
    <d v="1899-12-30T22:30:00"/>
    <m/>
    <m/>
    <d v="1899-12-30T05:05:00"/>
    <n v="61.000000000000007"/>
    <m/>
    <m/>
  </r>
  <r>
    <x v="99"/>
    <x v="1"/>
    <d v="1899-12-30T17:19:00"/>
    <d v="1899-12-30T21:10:00"/>
    <m/>
    <m/>
    <d v="1899-12-30T03:51:00"/>
    <n v="46.199999999999996"/>
    <m/>
    <m/>
  </r>
  <r>
    <x v="100"/>
    <x v="2"/>
    <d v="1899-12-30T08:45:00"/>
    <d v="1899-12-30T12:00:00"/>
    <d v="1899-12-30T13:40:00"/>
    <d v="1899-12-30T21:00:00"/>
    <d v="1899-12-30T10:35:00"/>
    <n v="127"/>
    <m/>
    <m/>
  </r>
  <r>
    <x v="101"/>
    <x v="3"/>
    <m/>
    <m/>
    <m/>
    <m/>
    <d v="1899-12-30T00:00:00"/>
    <n v="0"/>
    <m/>
    <m/>
  </r>
  <r>
    <x v="102"/>
    <x v="4"/>
    <m/>
    <m/>
    <m/>
    <m/>
    <d v="1899-12-30T00:00:00"/>
    <n v="0"/>
    <m/>
    <m/>
  </r>
  <r>
    <x v="103"/>
    <x v="5"/>
    <d v="1899-12-30T17:00:00"/>
    <d v="1899-12-30T22:50:00"/>
    <m/>
    <m/>
    <d v="1899-12-30T05:50:00"/>
    <n v="69.999999999999972"/>
    <m/>
    <m/>
  </r>
  <r>
    <x v="104"/>
    <x v="6"/>
    <d v="1899-12-30T17:25:00"/>
    <d v="1899-12-30T21:00:00"/>
    <m/>
    <m/>
    <d v="1899-12-30T03:35:00"/>
    <n v="43.000000000000007"/>
    <m/>
    <m/>
  </r>
  <r>
    <x v="105"/>
    <x v="0"/>
    <d v="1899-12-30T17:20:00"/>
    <d v="1899-12-30T21:00:00"/>
    <m/>
    <m/>
    <d v="1899-12-30T03:40:00"/>
    <n v="44"/>
    <m/>
    <m/>
  </r>
  <r>
    <x v="106"/>
    <x v="1"/>
    <d v="1899-12-30T17:35:00"/>
    <d v="1899-12-30T21:15:00"/>
    <m/>
    <m/>
    <d v="1899-12-30T03:40:00"/>
    <n v="44"/>
    <m/>
    <m/>
  </r>
  <r>
    <x v="107"/>
    <x v="2"/>
    <d v="1899-12-30T08:50:00"/>
    <d v="1899-12-30T12:00:00"/>
    <d v="1899-12-30T13:40:00"/>
    <d v="1899-12-30T21:00:00"/>
    <d v="1899-12-30T10:30:00"/>
    <n v="126"/>
    <m/>
    <m/>
  </r>
  <r>
    <x v="108"/>
    <x v="3"/>
    <m/>
    <m/>
    <m/>
    <m/>
    <d v="1899-12-30T00:00:00"/>
    <n v="0"/>
    <m/>
    <m/>
  </r>
  <r>
    <x v="109"/>
    <x v="4"/>
    <m/>
    <m/>
    <m/>
    <m/>
    <d v="1899-12-30T00:00:00"/>
    <n v="0"/>
    <m/>
    <m/>
  </r>
  <r>
    <x v="110"/>
    <x v="5"/>
    <m/>
    <m/>
    <m/>
    <m/>
    <d v="1899-12-30T00:00:00"/>
    <n v="0"/>
    <m/>
    <m/>
  </r>
  <r>
    <x v="111"/>
    <x v="6"/>
    <d v="1899-12-30T17:25:00"/>
    <d v="1899-12-30T21:45:00"/>
    <m/>
    <m/>
    <d v="1899-12-30T04:20:00"/>
    <n v="52.000000000000007"/>
    <m/>
    <m/>
  </r>
  <r>
    <x v="112"/>
    <x v="0"/>
    <d v="1899-12-30T17:30:00"/>
    <d v="1899-12-30T21:12:00"/>
    <m/>
    <m/>
    <d v="1899-12-30T03:42:00"/>
    <n v="44.400000000000006"/>
    <m/>
    <m/>
  </r>
  <r>
    <x v="113"/>
    <x v="1"/>
    <d v="1899-12-30T17:35:00"/>
    <d v="1899-12-30T22:10:00"/>
    <m/>
    <m/>
    <d v="1899-12-30T04:35:00"/>
    <n v="55.000000000000028"/>
    <m/>
    <m/>
  </r>
  <r>
    <x v="114"/>
    <x v="2"/>
    <d v="1899-12-30T08:50:00"/>
    <d v="1899-12-30T12:00:00"/>
    <d v="1899-12-30T13:40:00"/>
    <d v="1899-12-30T21:00:00"/>
    <d v="1899-12-30T10:30:00"/>
    <n v="126"/>
    <m/>
    <m/>
  </r>
  <r>
    <x v="115"/>
    <x v="3"/>
    <m/>
    <m/>
    <m/>
    <m/>
    <d v="1899-12-30T00:00:00"/>
    <n v="0"/>
    <m/>
    <m/>
  </r>
  <r>
    <x v="116"/>
    <x v="4"/>
    <m/>
    <m/>
    <m/>
    <m/>
    <d v="1899-12-30T00:00:00"/>
    <n v="0"/>
    <m/>
    <m/>
  </r>
  <r>
    <x v="117"/>
    <x v="5"/>
    <d v="1899-12-30T16:50:00"/>
    <d v="1899-12-30T22:14:00"/>
    <m/>
    <m/>
    <d v="1899-12-30T05:24:00"/>
    <n v="64.800000000000026"/>
    <m/>
    <m/>
  </r>
  <r>
    <x v="118"/>
    <x v="6"/>
    <d v="1899-12-30T16:55:00"/>
    <d v="1899-12-30T21:00:00"/>
    <m/>
    <m/>
    <d v="1899-12-30T04:05:00"/>
    <n v="48.999999999999986"/>
    <m/>
    <m/>
  </r>
  <r>
    <x v="119"/>
    <x v="0"/>
    <d v="1899-12-30T17:30:00"/>
    <d v="1899-12-30T21:47:00"/>
    <m/>
    <m/>
    <d v="1899-12-30T04:17:00"/>
    <n v="51.400000000000006"/>
    <m/>
    <m/>
  </r>
  <r>
    <x v="120"/>
    <x v="1"/>
    <m/>
    <m/>
    <m/>
    <m/>
    <d v="1899-12-30T00:00:00"/>
    <n v="0"/>
    <m/>
    <m/>
  </r>
  <r>
    <x v="121"/>
    <x v="2"/>
    <d v="1899-12-30T08:45:00"/>
    <d v="1899-12-30T14:40:00"/>
    <d v="1899-12-30T15:30:00"/>
    <d v="1899-12-30T17:37:00"/>
    <d v="1899-12-30T08:02:00"/>
    <n v="96.4"/>
    <m/>
    <m/>
  </r>
  <r>
    <x v="122"/>
    <x v="3"/>
    <m/>
    <m/>
    <m/>
    <m/>
    <d v="1899-12-30T00:00:00"/>
    <n v="0"/>
    <m/>
    <m/>
  </r>
  <r>
    <x v="123"/>
    <x v="4"/>
    <m/>
    <m/>
    <m/>
    <m/>
    <d v="1899-12-30T00:00:00"/>
    <n v="0"/>
    <m/>
    <m/>
  </r>
  <r>
    <x v="124"/>
    <x v="5"/>
    <d v="1899-12-30T17:50:00"/>
    <d v="1899-12-30T21:05:00"/>
    <m/>
    <m/>
    <d v="1899-12-30T03:15:00"/>
    <n v="38.999999999999986"/>
    <m/>
    <m/>
  </r>
  <r>
    <x v="125"/>
    <x v="6"/>
    <d v="1899-12-30T17:55:00"/>
    <d v="1899-12-30T21:00:00"/>
    <m/>
    <m/>
    <d v="1899-12-30T03:05:00"/>
    <n v="37"/>
    <m/>
    <m/>
  </r>
  <r>
    <x v="126"/>
    <x v="0"/>
    <d v="1899-12-30T17:45:00"/>
    <d v="1899-12-30T21:00:00"/>
    <m/>
    <m/>
    <d v="1899-12-30T03:15:00"/>
    <n v="38.999999999999986"/>
    <m/>
    <m/>
  </r>
  <r>
    <x v="127"/>
    <x v="1"/>
    <m/>
    <m/>
    <m/>
    <m/>
    <d v="1899-12-30T00:00:00"/>
    <n v="0"/>
    <m/>
    <m/>
  </r>
  <r>
    <x v="128"/>
    <x v="2"/>
    <m/>
    <m/>
    <m/>
    <m/>
    <d v="1899-12-30T00:00:00"/>
    <n v="0"/>
    <m/>
    <m/>
  </r>
  <r>
    <x v="129"/>
    <x v="3"/>
    <m/>
    <m/>
    <m/>
    <m/>
    <d v="1899-12-30T00:00:00"/>
    <n v="0"/>
    <m/>
    <m/>
  </r>
  <r>
    <x v="130"/>
    <x v="4"/>
    <m/>
    <m/>
    <m/>
    <m/>
    <d v="1899-12-30T00:00:00"/>
    <n v="0"/>
    <m/>
    <m/>
  </r>
  <r>
    <x v="131"/>
    <x v="5"/>
    <d v="1899-12-30T17:25:00"/>
    <d v="1899-12-30T23:00:00"/>
    <m/>
    <m/>
    <d v="1899-12-30T05:35:00"/>
    <n v="67.000000000000014"/>
    <m/>
    <m/>
  </r>
  <r>
    <x v="132"/>
    <x v="6"/>
    <d v="1899-12-30T17:25:00"/>
    <d v="1899-12-30T21:10:00"/>
    <m/>
    <m/>
    <d v="1899-12-30T03:45:00"/>
    <n v="45"/>
    <m/>
    <m/>
  </r>
  <r>
    <x v="133"/>
    <x v="0"/>
    <d v="1899-12-30T17:30:00"/>
    <d v="1899-12-30T21:00:00"/>
    <m/>
    <m/>
    <d v="1899-12-30T03:30:00"/>
    <n v="42.000000000000014"/>
    <m/>
    <m/>
  </r>
  <r>
    <x v="134"/>
    <x v="1"/>
    <d v="1899-12-30T17:20:00"/>
    <d v="1899-12-30T21:10:00"/>
    <m/>
    <m/>
    <d v="1899-12-30T03:50:00"/>
    <n v="46"/>
    <m/>
    <m/>
  </r>
  <r>
    <x v="135"/>
    <x v="2"/>
    <d v="1899-12-30T13:45:00"/>
    <d v="1899-12-30T21:15:00"/>
    <m/>
    <m/>
    <d v="1899-12-30T07:30:00"/>
    <n v="90"/>
    <m/>
    <m/>
  </r>
  <r>
    <x v="136"/>
    <x v="3"/>
    <m/>
    <m/>
    <m/>
    <m/>
    <d v="1899-12-30T00:00:00"/>
    <n v="0"/>
    <m/>
    <m/>
  </r>
  <r>
    <x v="137"/>
    <x v="4"/>
    <m/>
    <m/>
    <m/>
    <m/>
    <d v="1899-12-30T00:00:00"/>
    <n v="0"/>
    <m/>
    <m/>
  </r>
  <r>
    <x v="138"/>
    <x v="5"/>
    <d v="1899-12-30T17:40:00"/>
    <d v="1899-12-30T21:00:00"/>
    <m/>
    <m/>
    <d v="1899-12-30T03:20:00"/>
    <n v="39.999999999999986"/>
    <m/>
    <m/>
  </r>
  <r>
    <x v="139"/>
    <x v="6"/>
    <d v="1899-12-30T17:05:00"/>
    <d v="1899-12-30T22:00:00"/>
    <m/>
    <m/>
    <d v="1899-12-30T04:55:00"/>
    <n v="58.999999999999986"/>
    <m/>
    <m/>
  </r>
  <r>
    <x v="140"/>
    <x v="0"/>
    <d v="1899-12-30T17:10:00"/>
    <d v="1899-12-30T21:00:00"/>
    <m/>
    <m/>
    <d v="1899-12-30T03:50:00"/>
    <n v="46"/>
    <m/>
    <s v="venda 22lr 500 munição "/>
  </r>
  <r>
    <x v="141"/>
    <x v="1"/>
    <d v="1899-12-30T17:10:00"/>
    <d v="1899-12-30T21:40:00"/>
    <m/>
    <m/>
    <d v="1899-12-30T04:30:00"/>
    <n v="54"/>
    <m/>
    <m/>
  </r>
  <r>
    <x v="142"/>
    <x v="2"/>
    <d v="1899-12-30T08:38:00"/>
    <d v="1899-12-30T12:10:00"/>
    <d v="1899-12-30T13:40:00"/>
    <d v="1899-12-30T21:00:00"/>
    <d v="1899-12-30T10:52:00"/>
    <n v="130.4"/>
    <m/>
    <m/>
  </r>
  <r>
    <x v="143"/>
    <x v="3"/>
    <m/>
    <m/>
    <m/>
    <m/>
    <d v="1899-12-30T00:00:00"/>
    <n v="0"/>
    <m/>
    <m/>
  </r>
  <r>
    <x v="144"/>
    <x v="4"/>
    <m/>
    <m/>
    <m/>
    <m/>
    <d v="1899-12-30T00:00:00"/>
    <n v="0"/>
    <m/>
    <m/>
  </r>
  <r>
    <x v="145"/>
    <x v="5"/>
    <d v="1899-12-30T17:05:00"/>
    <d v="1899-12-30T22:00:00"/>
    <m/>
    <m/>
    <d v="1899-12-30T04:55:00"/>
    <n v="58.999999999999986"/>
    <m/>
    <m/>
  </r>
  <r>
    <x v="146"/>
    <x v="6"/>
    <d v="1899-12-30T17:10:00"/>
    <d v="1899-12-30T21:00:00"/>
    <m/>
    <m/>
    <d v="1899-12-30T03:50:00"/>
    <n v="46"/>
    <m/>
    <m/>
  </r>
  <r>
    <x v="147"/>
    <x v="0"/>
    <d v="1899-12-30T17:20:00"/>
    <d v="1899-12-30T21:00:00"/>
    <m/>
    <m/>
    <d v="1899-12-30T03:40:00"/>
    <n v="44"/>
    <m/>
    <m/>
  </r>
  <r>
    <x v="148"/>
    <x v="1"/>
    <d v="1899-12-30T17:10:00"/>
    <d v="1899-12-30T21:10:00"/>
    <m/>
    <m/>
    <d v="1899-12-30T04:00:00"/>
    <n v="47.999999999999986"/>
    <m/>
    <m/>
  </r>
  <r>
    <x v="149"/>
    <x v="2"/>
    <d v="1899-12-30T08:45:00"/>
    <d v="1899-12-30T12:00:00"/>
    <d v="1899-12-30T13:38:00"/>
    <d v="1899-12-30T21:00:00"/>
    <d v="1899-12-30T10:37:00"/>
    <n v="127.4"/>
    <m/>
    <m/>
  </r>
  <r>
    <x v="150"/>
    <x v="3"/>
    <m/>
    <m/>
    <m/>
    <m/>
    <d v="1899-12-30T00:00:00"/>
    <n v="0"/>
    <m/>
    <m/>
  </r>
  <r>
    <x v="151"/>
    <x v="4"/>
    <m/>
    <m/>
    <m/>
    <m/>
    <d v="1899-12-30T00:00:00"/>
    <n v="0"/>
    <m/>
    <m/>
  </r>
  <r>
    <x v="152"/>
    <x v="5"/>
    <m/>
    <m/>
    <m/>
    <m/>
    <d v="1899-12-30T00:00:00"/>
    <n v="0"/>
    <m/>
    <m/>
  </r>
  <r>
    <x v="153"/>
    <x v="6"/>
    <m/>
    <m/>
    <m/>
    <m/>
    <d v="1899-12-30T00:00:00"/>
    <n v="0"/>
    <m/>
    <m/>
  </r>
  <r>
    <x v="154"/>
    <x v="0"/>
    <m/>
    <m/>
    <m/>
    <m/>
    <d v="1899-12-30T00:00:00"/>
    <n v="0"/>
    <m/>
    <m/>
  </r>
  <r>
    <x v="155"/>
    <x v="1"/>
    <m/>
    <m/>
    <m/>
    <m/>
    <d v="1899-12-30T00:00:00"/>
    <n v="0"/>
    <m/>
    <m/>
  </r>
  <r>
    <x v="156"/>
    <x v="2"/>
    <m/>
    <m/>
    <m/>
    <m/>
    <d v="1899-12-30T00:00:00"/>
    <n v="0"/>
    <m/>
    <m/>
  </r>
  <r>
    <x v="157"/>
    <x v="3"/>
    <m/>
    <m/>
    <m/>
    <m/>
    <d v="1899-12-30T00:00:00"/>
    <n v="0"/>
    <m/>
    <m/>
  </r>
  <r>
    <x v="158"/>
    <x v="4"/>
    <m/>
    <m/>
    <m/>
    <m/>
    <d v="1899-12-30T00:00:00"/>
    <n v="0"/>
    <m/>
    <m/>
  </r>
  <r>
    <x v="159"/>
    <x v="5"/>
    <m/>
    <m/>
    <m/>
    <m/>
    <d v="1899-12-30T00:00:00"/>
    <n v="0"/>
    <m/>
    <m/>
  </r>
  <r>
    <x v="160"/>
    <x v="6"/>
    <m/>
    <m/>
    <m/>
    <m/>
    <d v="1899-12-30T00:00:00"/>
    <n v="0"/>
    <m/>
    <m/>
  </r>
  <r>
    <x v="161"/>
    <x v="0"/>
    <m/>
    <m/>
    <m/>
    <m/>
    <d v="1899-12-30T00:00:00"/>
    <n v="0"/>
    <m/>
    <m/>
  </r>
  <r>
    <x v="162"/>
    <x v="1"/>
    <m/>
    <m/>
    <m/>
    <m/>
    <d v="1899-12-30T00:00:00"/>
    <n v="0"/>
    <m/>
    <m/>
  </r>
  <r>
    <x v="163"/>
    <x v="2"/>
    <m/>
    <m/>
    <m/>
    <m/>
    <d v="1899-12-30T00:00:00"/>
    <n v="0"/>
    <m/>
    <m/>
  </r>
  <r>
    <x v="164"/>
    <x v="3"/>
    <m/>
    <m/>
    <m/>
    <m/>
    <d v="1899-12-30T00:00:00"/>
    <n v="0"/>
    <m/>
    <m/>
  </r>
  <r>
    <x v="165"/>
    <x v="4"/>
    <m/>
    <m/>
    <m/>
    <m/>
    <d v="1899-12-30T00:00:00"/>
    <n v="0"/>
    <m/>
    <m/>
  </r>
  <r>
    <x v="166"/>
    <x v="5"/>
    <m/>
    <m/>
    <m/>
    <m/>
    <d v="1899-12-30T00:00:00"/>
    <n v="0"/>
    <m/>
    <m/>
  </r>
  <r>
    <x v="167"/>
    <x v="6"/>
    <m/>
    <m/>
    <m/>
    <m/>
    <d v="1899-12-30T00:00:00"/>
    <n v="0"/>
    <m/>
    <m/>
  </r>
  <r>
    <x v="168"/>
    <x v="0"/>
    <m/>
    <m/>
    <m/>
    <m/>
    <d v="1899-12-30T00:00:00"/>
    <n v="0"/>
    <m/>
    <m/>
  </r>
  <r>
    <x v="169"/>
    <x v="1"/>
    <m/>
    <m/>
    <m/>
    <m/>
    <d v="1899-12-30T00:00:00"/>
    <n v="0"/>
    <m/>
    <m/>
  </r>
  <r>
    <x v="170"/>
    <x v="2"/>
    <m/>
    <m/>
    <m/>
    <m/>
    <d v="1899-12-30T00:00:00"/>
    <n v="0"/>
    <m/>
    <m/>
  </r>
  <r>
    <x v="171"/>
    <x v="3"/>
    <m/>
    <m/>
    <m/>
    <m/>
    <d v="1899-12-30T00:00:00"/>
    <n v="0"/>
    <m/>
    <m/>
  </r>
  <r>
    <x v="172"/>
    <x v="4"/>
    <m/>
    <m/>
    <m/>
    <m/>
    <d v="1899-12-30T00:00:00"/>
    <n v="0"/>
    <m/>
    <m/>
  </r>
  <r>
    <x v="173"/>
    <x v="5"/>
    <m/>
    <m/>
    <m/>
    <m/>
    <d v="1899-12-30T00:00:00"/>
    <n v="0"/>
    <m/>
    <m/>
  </r>
  <r>
    <x v="174"/>
    <x v="6"/>
    <m/>
    <m/>
    <m/>
    <m/>
    <d v="1899-12-30T00:00:00"/>
    <n v="0"/>
    <m/>
    <m/>
  </r>
  <r>
    <x v="175"/>
    <x v="0"/>
    <m/>
    <m/>
    <m/>
    <m/>
    <d v="1899-12-30T00:00:00"/>
    <n v="0"/>
    <m/>
    <m/>
  </r>
  <r>
    <x v="176"/>
    <x v="1"/>
    <m/>
    <m/>
    <m/>
    <m/>
    <d v="1899-12-30T00:00:00"/>
    <n v="0"/>
    <m/>
    <m/>
  </r>
  <r>
    <x v="177"/>
    <x v="2"/>
    <m/>
    <m/>
    <m/>
    <m/>
    <d v="1899-12-30T00:00:00"/>
    <n v="0"/>
    <m/>
    <m/>
  </r>
  <r>
    <x v="178"/>
    <x v="3"/>
    <m/>
    <m/>
    <m/>
    <m/>
    <d v="1899-12-30T00:00:00"/>
    <n v="0"/>
    <m/>
    <m/>
  </r>
  <r>
    <x v="179"/>
    <x v="4"/>
    <m/>
    <m/>
    <m/>
    <m/>
    <d v="1899-12-30T00:00:00"/>
    <n v="0"/>
    <m/>
    <m/>
  </r>
  <r>
    <x v="180"/>
    <x v="5"/>
    <m/>
    <m/>
    <m/>
    <m/>
    <d v="1899-12-30T00:00:00"/>
    <n v="0"/>
    <m/>
    <m/>
  </r>
  <r>
    <x v="181"/>
    <x v="6"/>
    <m/>
    <m/>
    <m/>
    <m/>
    <d v="1899-12-30T00:00:00"/>
    <n v="0"/>
    <m/>
    <m/>
  </r>
  <r>
    <x v="182"/>
    <x v="0"/>
    <m/>
    <m/>
    <m/>
    <m/>
    <d v="1899-12-30T00:00:00"/>
    <n v="0"/>
    <m/>
    <m/>
  </r>
  <r>
    <x v="183"/>
    <x v="1"/>
    <m/>
    <m/>
    <m/>
    <m/>
    <d v="1899-12-30T00:00:00"/>
    <n v="0"/>
    <m/>
    <m/>
  </r>
  <r>
    <x v="184"/>
    <x v="2"/>
    <m/>
    <m/>
    <m/>
    <m/>
    <d v="1899-12-30T00:00:00"/>
    <n v="0"/>
    <m/>
    <m/>
  </r>
  <r>
    <x v="185"/>
    <x v="3"/>
    <m/>
    <m/>
    <m/>
    <m/>
    <d v="1899-12-30T00:00:00"/>
    <n v="0"/>
    <m/>
    <m/>
  </r>
  <r>
    <x v="186"/>
    <x v="4"/>
    <m/>
    <m/>
    <m/>
    <m/>
    <d v="1899-12-30T00:00:00"/>
    <n v="0"/>
    <m/>
    <m/>
  </r>
  <r>
    <x v="187"/>
    <x v="5"/>
    <m/>
    <m/>
    <m/>
    <m/>
    <d v="1899-12-30T00:00:00"/>
    <n v="0"/>
    <m/>
    <m/>
  </r>
  <r>
    <x v="188"/>
    <x v="6"/>
    <m/>
    <m/>
    <m/>
    <m/>
    <d v="1899-12-30T00:00:00"/>
    <n v="0"/>
    <m/>
    <m/>
  </r>
  <r>
    <x v="189"/>
    <x v="0"/>
    <m/>
    <m/>
    <m/>
    <m/>
    <d v="1899-12-30T00:00:00"/>
    <n v="0"/>
    <m/>
    <m/>
  </r>
  <r>
    <x v="190"/>
    <x v="1"/>
    <m/>
    <m/>
    <m/>
    <m/>
    <d v="1899-12-30T00:00:00"/>
    <n v="0"/>
    <m/>
    <m/>
  </r>
  <r>
    <x v="191"/>
    <x v="2"/>
    <m/>
    <m/>
    <m/>
    <m/>
    <d v="1899-12-30T00:00:00"/>
    <n v="0"/>
    <m/>
    <m/>
  </r>
  <r>
    <x v="192"/>
    <x v="3"/>
    <m/>
    <m/>
    <m/>
    <m/>
    <d v="1899-12-30T00:00:00"/>
    <n v="0"/>
    <m/>
    <m/>
  </r>
  <r>
    <x v="193"/>
    <x v="4"/>
    <m/>
    <m/>
    <m/>
    <m/>
    <d v="1899-12-30T00:00:00"/>
    <n v="0"/>
    <m/>
    <m/>
  </r>
  <r>
    <x v="194"/>
    <x v="5"/>
    <m/>
    <m/>
    <m/>
    <m/>
    <d v="1899-12-30T00:00:00"/>
    <n v="0"/>
    <m/>
    <m/>
  </r>
  <r>
    <x v="195"/>
    <x v="6"/>
    <m/>
    <m/>
    <m/>
    <m/>
    <d v="1899-12-30T00:00:00"/>
    <n v="0"/>
    <m/>
    <m/>
  </r>
  <r>
    <x v="196"/>
    <x v="0"/>
    <m/>
    <m/>
    <m/>
    <m/>
    <d v="1899-12-30T00:00:00"/>
    <n v="0"/>
    <m/>
    <m/>
  </r>
  <r>
    <x v="197"/>
    <x v="1"/>
    <m/>
    <m/>
    <m/>
    <m/>
    <d v="1899-12-30T00:00:00"/>
    <n v="0"/>
    <m/>
    <m/>
  </r>
  <r>
    <x v="198"/>
    <x v="2"/>
    <m/>
    <m/>
    <m/>
    <m/>
    <d v="1899-12-30T00:00:00"/>
    <n v="0"/>
    <m/>
    <m/>
  </r>
  <r>
    <x v="199"/>
    <x v="3"/>
    <m/>
    <m/>
    <m/>
    <m/>
    <d v="1899-12-30T00:00:00"/>
    <n v="0"/>
    <m/>
    <m/>
  </r>
  <r>
    <x v="200"/>
    <x v="4"/>
    <m/>
    <m/>
    <m/>
    <m/>
    <d v="1899-12-30T00:00:00"/>
    <n v="0"/>
    <m/>
    <m/>
  </r>
  <r>
    <x v="201"/>
    <x v="5"/>
    <m/>
    <m/>
    <m/>
    <m/>
    <d v="1899-12-30T00:00:00"/>
    <n v="0"/>
    <m/>
    <m/>
  </r>
  <r>
    <x v="202"/>
    <x v="6"/>
    <m/>
    <m/>
    <m/>
    <m/>
    <d v="1899-12-30T00:00:00"/>
    <n v="0"/>
    <m/>
    <m/>
  </r>
  <r>
    <x v="203"/>
    <x v="0"/>
    <m/>
    <m/>
    <m/>
    <m/>
    <d v="1899-12-30T00:00:00"/>
    <n v="0"/>
    <m/>
    <m/>
  </r>
  <r>
    <x v="204"/>
    <x v="1"/>
    <m/>
    <m/>
    <m/>
    <m/>
    <d v="1899-12-30T00:00:00"/>
    <n v="0"/>
    <m/>
    <m/>
  </r>
  <r>
    <x v="205"/>
    <x v="2"/>
    <m/>
    <m/>
    <m/>
    <m/>
    <d v="1899-12-30T00:00:00"/>
    <n v="0"/>
    <m/>
    <m/>
  </r>
  <r>
    <x v="206"/>
    <x v="3"/>
    <m/>
    <m/>
    <m/>
    <m/>
    <d v="1899-12-30T00:00:00"/>
    <n v="0"/>
    <m/>
    <m/>
  </r>
  <r>
    <x v="207"/>
    <x v="4"/>
    <m/>
    <m/>
    <m/>
    <m/>
    <d v="1899-12-30T00:00:00"/>
    <n v="0"/>
    <m/>
    <m/>
  </r>
  <r>
    <x v="208"/>
    <x v="5"/>
    <m/>
    <m/>
    <m/>
    <m/>
    <d v="1899-12-30T00:00:00"/>
    <n v="0"/>
    <m/>
    <m/>
  </r>
  <r>
    <x v="209"/>
    <x v="6"/>
    <m/>
    <m/>
    <m/>
    <m/>
    <d v="1899-12-30T00:00:00"/>
    <n v="0"/>
    <m/>
    <m/>
  </r>
  <r>
    <x v="210"/>
    <x v="0"/>
    <m/>
    <m/>
    <m/>
    <m/>
    <d v="1899-12-30T00:00:00"/>
    <n v="0"/>
    <m/>
    <m/>
  </r>
  <r>
    <x v="211"/>
    <x v="1"/>
    <m/>
    <m/>
    <m/>
    <m/>
    <d v="1899-12-30T00:00:00"/>
    <n v="0"/>
    <m/>
    <m/>
  </r>
  <r>
    <x v="212"/>
    <x v="2"/>
    <m/>
    <m/>
    <m/>
    <m/>
    <d v="1899-12-30T00:00:00"/>
    <n v="0"/>
    <m/>
    <m/>
  </r>
  <r>
    <x v="213"/>
    <x v="3"/>
    <m/>
    <m/>
    <m/>
    <m/>
    <d v="1899-12-30T00:00:00"/>
    <n v="0"/>
    <m/>
    <m/>
  </r>
  <r>
    <x v="214"/>
    <x v="4"/>
    <m/>
    <m/>
    <m/>
    <m/>
    <d v="1899-12-30T00:00:00"/>
    <n v="0"/>
    <m/>
    <m/>
  </r>
  <r>
    <x v="215"/>
    <x v="5"/>
    <m/>
    <m/>
    <m/>
    <m/>
    <d v="1899-12-30T00:00:00"/>
    <n v="0"/>
    <m/>
    <m/>
  </r>
  <r>
    <x v="216"/>
    <x v="6"/>
    <m/>
    <m/>
    <m/>
    <m/>
    <d v="1899-12-30T00:00:00"/>
    <n v="0"/>
    <m/>
    <m/>
  </r>
  <r>
    <x v="217"/>
    <x v="0"/>
    <m/>
    <m/>
    <m/>
    <m/>
    <d v="1899-12-30T00:00:00"/>
    <n v="0"/>
    <m/>
    <m/>
  </r>
  <r>
    <x v="218"/>
    <x v="1"/>
    <m/>
    <m/>
    <m/>
    <m/>
    <d v="1899-12-30T00:00:00"/>
    <n v="0"/>
    <m/>
    <m/>
  </r>
  <r>
    <x v="219"/>
    <x v="2"/>
    <m/>
    <m/>
    <m/>
    <m/>
    <d v="1899-12-30T00:00:00"/>
    <n v="0"/>
    <m/>
    <m/>
  </r>
  <r>
    <x v="220"/>
    <x v="3"/>
    <m/>
    <m/>
    <m/>
    <m/>
    <d v="1899-12-30T00:00:00"/>
    <n v="0"/>
    <m/>
    <m/>
  </r>
  <r>
    <x v="221"/>
    <x v="4"/>
    <m/>
    <m/>
    <m/>
    <m/>
    <d v="1899-12-30T00:00:00"/>
    <n v="0"/>
    <m/>
    <m/>
  </r>
  <r>
    <x v="222"/>
    <x v="5"/>
    <m/>
    <m/>
    <m/>
    <m/>
    <d v="1899-12-30T00:00:00"/>
    <n v="0"/>
    <m/>
    <m/>
  </r>
  <r>
    <x v="223"/>
    <x v="6"/>
    <m/>
    <m/>
    <m/>
    <m/>
    <d v="1899-12-30T00:00:00"/>
    <n v="0"/>
    <m/>
    <m/>
  </r>
  <r>
    <x v="224"/>
    <x v="0"/>
    <m/>
    <m/>
    <m/>
    <m/>
    <d v="1899-12-30T00:00:00"/>
    <n v="0"/>
    <m/>
    <m/>
  </r>
  <r>
    <x v="225"/>
    <x v="1"/>
    <m/>
    <m/>
    <m/>
    <m/>
    <d v="1899-12-30T00:00:00"/>
    <n v="0"/>
    <m/>
    <m/>
  </r>
  <r>
    <x v="226"/>
    <x v="2"/>
    <m/>
    <m/>
    <m/>
    <m/>
    <d v="1899-12-30T00:00:00"/>
    <n v="0"/>
    <m/>
    <m/>
  </r>
  <r>
    <x v="227"/>
    <x v="3"/>
    <m/>
    <m/>
    <m/>
    <m/>
    <d v="1899-12-30T00:00:00"/>
    <n v="0"/>
    <m/>
    <m/>
  </r>
  <r>
    <x v="228"/>
    <x v="4"/>
    <m/>
    <m/>
    <m/>
    <m/>
    <d v="1899-12-30T00:00:00"/>
    <n v="0"/>
    <m/>
    <m/>
  </r>
  <r>
    <x v="229"/>
    <x v="5"/>
    <m/>
    <m/>
    <m/>
    <m/>
    <d v="1899-12-30T00:00:00"/>
    <n v="0"/>
    <m/>
    <m/>
  </r>
  <r>
    <x v="230"/>
    <x v="6"/>
    <m/>
    <m/>
    <m/>
    <m/>
    <d v="1899-12-30T00:00:00"/>
    <n v="0"/>
    <m/>
    <m/>
  </r>
  <r>
    <x v="231"/>
    <x v="0"/>
    <m/>
    <m/>
    <m/>
    <m/>
    <d v="1899-12-30T00:00:00"/>
    <n v="0"/>
    <m/>
    <m/>
  </r>
  <r>
    <x v="232"/>
    <x v="1"/>
    <m/>
    <m/>
    <m/>
    <m/>
    <d v="1899-12-30T00:00:00"/>
    <n v="0"/>
    <m/>
    <m/>
  </r>
  <r>
    <x v="233"/>
    <x v="2"/>
    <m/>
    <m/>
    <m/>
    <m/>
    <d v="1899-12-30T00:00:00"/>
    <n v="0"/>
    <m/>
    <m/>
  </r>
  <r>
    <x v="234"/>
    <x v="3"/>
    <m/>
    <m/>
    <m/>
    <m/>
    <d v="1899-12-30T00:00:00"/>
    <n v="0"/>
    <m/>
    <m/>
  </r>
  <r>
    <x v="235"/>
    <x v="4"/>
    <m/>
    <m/>
    <m/>
    <m/>
    <d v="1899-12-30T00:00:00"/>
    <n v="0"/>
    <m/>
    <m/>
  </r>
  <r>
    <x v="236"/>
    <x v="5"/>
    <m/>
    <m/>
    <m/>
    <m/>
    <d v="1899-12-30T00:00:00"/>
    <n v="0"/>
    <m/>
    <m/>
  </r>
  <r>
    <x v="237"/>
    <x v="6"/>
    <m/>
    <m/>
    <m/>
    <m/>
    <d v="1899-12-30T00:00:00"/>
    <n v="0"/>
    <m/>
    <m/>
  </r>
  <r>
    <x v="238"/>
    <x v="0"/>
    <m/>
    <m/>
    <m/>
    <m/>
    <d v="1899-12-30T00:00:00"/>
    <n v="0"/>
    <m/>
    <m/>
  </r>
  <r>
    <x v="239"/>
    <x v="1"/>
    <m/>
    <m/>
    <m/>
    <m/>
    <d v="1899-12-30T00:00:00"/>
    <n v="0"/>
    <m/>
    <m/>
  </r>
  <r>
    <x v="240"/>
    <x v="2"/>
    <m/>
    <m/>
    <m/>
    <m/>
    <d v="1899-12-30T00:00:00"/>
    <n v="0"/>
    <m/>
    <m/>
  </r>
  <r>
    <x v="241"/>
    <x v="3"/>
    <m/>
    <m/>
    <m/>
    <m/>
    <d v="1899-12-30T00:00:00"/>
    <n v="0"/>
    <m/>
    <m/>
  </r>
  <r>
    <x v="242"/>
    <x v="4"/>
    <m/>
    <m/>
    <m/>
    <m/>
    <d v="1899-12-30T00:00:00"/>
    <n v="0"/>
    <m/>
    <m/>
  </r>
  <r>
    <x v="243"/>
    <x v="5"/>
    <m/>
    <m/>
    <m/>
    <m/>
    <d v="1899-12-30T00:00:00"/>
    <n v="0"/>
    <m/>
    <m/>
  </r>
  <r>
    <x v="244"/>
    <x v="6"/>
    <m/>
    <m/>
    <m/>
    <m/>
    <d v="1899-12-30T00:00:00"/>
    <n v="0"/>
    <m/>
    <m/>
  </r>
  <r>
    <x v="245"/>
    <x v="0"/>
    <m/>
    <m/>
    <m/>
    <m/>
    <d v="1899-12-30T00:00:00"/>
    <n v="0"/>
    <m/>
    <m/>
  </r>
  <r>
    <x v="246"/>
    <x v="1"/>
    <m/>
    <m/>
    <m/>
    <m/>
    <d v="1899-12-30T00:00:00"/>
    <n v="0"/>
    <m/>
    <m/>
  </r>
  <r>
    <x v="247"/>
    <x v="2"/>
    <m/>
    <m/>
    <m/>
    <m/>
    <d v="1899-12-30T00:00:00"/>
    <n v="0"/>
    <m/>
    <m/>
  </r>
  <r>
    <x v="248"/>
    <x v="3"/>
    <m/>
    <m/>
    <m/>
    <m/>
    <d v="1899-12-30T00:00:00"/>
    <n v="0"/>
    <m/>
    <m/>
  </r>
  <r>
    <x v="249"/>
    <x v="4"/>
    <m/>
    <m/>
    <m/>
    <m/>
    <d v="1899-12-30T00:00:00"/>
    <n v="0"/>
    <m/>
    <m/>
  </r>
  <r>
    <x v="250"/>
    <x v="5"/>
    <m/>
    <m/>
    <m/>
    <m/>
    <d v="1899-12-30T00:00:00"/>
    <n v="0"/>
    <m/>
    <m/>
  </r>
  <r>
    <x v="251"/>
    <x v="6"/>
    <m/>
    <m/>
    <m/>
    <m/>
    <d v="1899-12-30T00:00:00"/>
    <n v="0"/>
    <m/>
    <m/>
  </r>
  <r>
    <x v="252"/>
    <x v="0"/>
    <m/>
    <m/>
    <m/>
    <m/>
    <d v="1899-12-30T00:00:00"/>
    <n v="0"/>
    <m/>
    <m/>
  </r>
  <r>
    <x v="253"/>
    <x v="1"/>
    <m/>
    <m/>
    <m/>
    <m/>
    <d v="1899-12-30T00:00:00"/>
    <n v="0"/>
    <m/>
    <m/>
  </r>
  <r>
    <x v="254"/>
    <x v="2"/>
    <m/>
    <m/>
    <m/>
    <m/>
    <d v="1899-12-30T00:00:00"/>
    <n v="0"/>
    <m/>
    <m/>
  </r>
  <r>
    <x v="255"/>
    <x v="3"/>
    <m/>
    <m/>
    <m/>
    <m/>
    <d v="1899-12-30T00:00:00"/>
    <n v="0"/>
    <m/>
    <m/>
  </r>
  <r>
    <x v="256"/>
    <x v="4"/>
    <m/>
    <m/>
    <m/>
    <m/>
    <d v="1899-12-30T00:00:00"/>
    <n v="0"/>
    <m/>
    <m/>
  </r>
  <r>
    <x v="257"/>
    <x v="5"/>
    <m/>
    <m/>
    <m/>
    <m/>
    <d v="1899-12-30T00:00:00"/>
    <n v="0"/>
    <m/>
    <m/>
  </r>
  <r>
    <x v="258"/>
    <x v="6"/>
    <m/>
    <m/>
    <m/>
    <m/>
    <d v="1899-12-30T00:00:00"/>
    <n v="0"/>
    <m/>
    <m/>
  </r>
  <r>
    <x v="259"/>
    <x v="0"/>
    <m/>
    <m/>
    <m/>
    <m/>
    <d v="1899-12-30T00:00:00"/>
    <n v="0"/>
    <m/>
    <m/>
  </r>
  <r>
    <x v="260"/>
    <x v="1"/>
    <m/>
    <m/>
    <m/>
    <m/>
    <d v="1899-12-30T00:00:00"/>
    <n v="0"/>
    <m/>
    <m/>
  </r>
  <r>
    <x v="261"/>
    <x v="2"/>
    <m/>
    <m/>
    <m/>
    <m/>
    <d v="1899-12-30T00:00:00"/>
    <n v="0"/>
    <m/>
    <m/>
  </r>
  <r>
    <x v="262"/>
    <x v="3"/>
    <m/>
    <m/>
    <m/>
    <m/>
    <d v="1899-12-30T00:00:00"/>
    <n v="0"/>
    <m/>
    <m/>
  </r>
  <r>
    <x v="263"/>
    <x v="4"/>
    <m/>
    <m/>
    <m/>
    <m/>
    <d v="1899-12-30T00:00:00"/>
    <n v="0"/>
    <m/>
    <m/>
  </r>
  <r>
    <x v="264"/>
    <x v="5"/>
    <m/>
    <m/>
    <m/>
    <m/>
    <d v="1899-12-30T00:00:00"/>
    <n v="0"/>
    <m/>
    <m/>
  </r>
  <r>
    <x v="265"/>
    <x v="6"/>
    <m/>
    <m/>
    <m/>
    <m/>
    <d v="1899-12-30T00:00:00"/>
    <n v="0"/>
    <m/>
    <m/>
  </r>
  <r>
    <x v="266"/>
    <x v="0"/>
    <m/>
    <m/>
    <m/>
    <m/>
    <d v="1899-12-30T00:00:00"/>
    <n v="0"/>
    <m/>
    <m/>
  </r>
  <r>
    <x v="267"/>
    <x v="1"/>
    <m/>
    <m/>
    <m/>
    <m/>
    <d v="1899-12-30T00:00:00"/>
    <n v="0"/>
    <m/>
    <m/>
  </r>
  <r>
    <x v="268"/>
    <x v="2"/>
    <m/>
    <m/>
    <m/>
    <m/>
    <d v="1899-12-30T00:00:00"/>
    <n v="0"/>
    <m/>
    <m/>
  </r>
  <r>
    <x v="269"/>
    <x v="3"/>
    <m/>
    <m/>
    <m/>
    <m/>
    <d v="1899-12-30T00:00:00"/>
    <n v="0"/>
    <m/>
    <m/>
  </r>
  <r>
    <x v="270"/>
    <x v="4"/>
    <m/>
    <m/>
    <m/>
    <m/>
    <d v="1899-12-30T00:00:00"/>
    <n v="0"/>
    <m/>
    <m/>
  </r>
  <r>
    <x v="271"/>
    <x v="5"/>
    <m/>
    <m/>
    <m/>
    <m/>
    <d v="1899-12-30T00:00:00"/>
    <n v="0"/>
    <m/>
    <m/>
  </r>
  <r>
    <x v="272"/>
    <x v="6"/>
    <m/>
    <m/>
    <m/>
    <m/>
    <d v="1899-12-30T00:00:00"/>
    <n v="0"/>
    <m/>
    <m/>
  </r>
  <r>
    <x v="273"/>
    <x v="0"/>
    <m/>
    <m/>
    <m/>
    <m/>
    <d v="1899-12-30T00:00:00"/>
    <n v="0"/>
    <m/>
    <m/>
  </r>
  <r>
    <x v="274"/>
    <x v="1"/>
    <m/>
    <m/>
    <m/>
    <m/>
    <d v="1899-12-30T00:00:00"/>
    <n v="0"/>
    <m/>
    <m/>
  </r>
  <r>
    <x v="275"/>
    <x v="2"/>
    <m/>
    <m/>
    <m/>
    <m/>
    <d v="1899-12-30T00:00:00"/>
    <n v="0"/>
    <m/>
    <m/>
  </r>
  <r>
    <x v="276"/>
    <x v="3"/>
    <m/>
    <m/>
    <m/>
    <m/>
    <d v="1899-12-30T00:00:00"/>
    <n v="0"/>
    <m/>
    <m/>
  </r>
  <r>
    <x v="277"/>
    <x v="4"/>
    <m/>
    <m/>
    <m/>
    <m/>
    <d v="1899-12-30T00:00:00"/>
    <n v="0"/>
    <m/>
    <m/>
  </r>
  <r>
    <x v="278"/>
    <x v="5"/>
    <m/>
    <m/>
    <m/>
    <m/>
    <d v="1899-12-30T00:00:00"/>
    <n v="0"/>
    <m/>
    <m/>
  </r>
  <r>
    <x v="279"/>
    <x v="6"/>
    <m/>
    <m/>
    <m/>
    <m/>
    <d v="1899-12-30T00:00:00"/>
    <n v="0"/>
    <m/>
    <m/>
  </r>
  <r>
    <x v="280"/>
    <x v="0"/>
    <m/>
    <m/>
    <m/>
    <m/>
    <d v="1899-12-30T00:00:00"/>
    <n v="0"/>
    <m/>
    <m/>
  </r>
  <r>
    <x v="281"/>
    <x v="1"/>
    <m/>
    <m/>
    <m/>
    <m/>
    <d v="1899-12-30T00:00:00"/>
    <n v="0"/>
    <m/>
    <m/>
  </r>
  <r>
    <x v="282"/>
    <x v="2"/>
    <m/>
    <m/>
    <m/>
    <m/>
    <d v="1899-12-30T00:00:00"/>
    <n v="0"/>
    <m/>
    <m/>
  </r>
  <r>
    <x v="283"/>
    <x v="3"/>
    <m/>
    <m/>
    <m/>
    <m/>
    <d v="1899-12-30T00:00:00"/>
    <n v="0"/>
    <m/>
    <m/>
  </r>
  <r>
    <x v="284"/>
    <x v="4"/>
    <m/>
    <m/>
    <m/>
    <m/>
    <d v="1899-12-30T00:00:00"/>
    <n v="0"/>
    <m/>
    <m/>
  </r>
  <r>
    <x v="285"/>
    <x v="5"/>
    <m/>
    <m/>
    <m/>
    <m/>
    <d v="1899-12-30T00:00:00"/>
    <n v="0"/>
    <m/>
    <m/>
  </r>
  <r>
    <x v="286"/>
    <x v="6"/>
    <m/>
    <m/>
    <m/>
    <m/>
    <d v="1899-12-30T00:00:00"/>
    <n v="0"/>
    <m/>
    <m/>
  </r>
  <r>
    <x v="287"/>
    <x v="0"/>
    <m/>
    <m/>
    <m/>
    <m/>
    <d v="1899-12-30T00:00:00"/>
    <n v="0"/>
    <m/>
    <m/>
  </r>
  <r>
    <x v="288"/>
    <x v="1"/>
    <m/>
    <m/>
    <m/>
    <m/>
    <d v="1899-12-30T00:00:00"/>
    <n v="0"/>
    <m/>
    <m/>
  </r>
  <r>
    <x v="289"/>
    <x v="2"/>
    <m/>
    <m/>
    <m/>
    <m/>
    <d v="1899-12-30T00:00:00"/>
    <n v="0"/>
    <m/>
    <m/>
  </r>
  <r>
    <x v="290"/>
    <x v="3"/>
    <m/>
    <m/>
    <m/>
    <m/>
    <d v="1899-12-30T00:00:00"/>
    <n v="0"/>
    <m/>
    <m/>
  </r>
  <r>
    <x v="291"/>
    <x v="4"/>
    <m/>
    <m/>
    <m/>
    <m/>
    <d v="1899-12-30T00:00:00"/>
    <n v="0"/>
    <m/>
    <m/>
  </r>
  <r>
    <x v="292"/>
    <x v="5"/>
    <m/>
    <m/>
    <m/>
    <m/>
    <d v="1899-12-30T00:00:00"/>
    <n v="0"/>
    <m/>
    <m/>
  </r>
  <r>
    <x v="293"/>
    <x v="6"/>
    <m/>
    <m/>
    <m/>
    <m/>
    <d v="1899-12-30T00:00:00"/>
    <n v="0"/>
    <m/>
    <m/>
  </r>
  <r>
    <x v="294"/>
    <x v="0"/>
    <m/>
    <m/>
    <m/>
    <m/>
    <d v="1899-12-30T00:00:00"/>
    <n v="0"/>
    <m/>
    <m/>
  </r>
  <r>
    <x v="295"/>
    <x v="1"/>
    <m/>
    <m/>
    <m/>
    <m/>
    <d v="1899-12-30T00:00:00"/>
    <n v="0"/>
    <m/>
    <m/>
  </r>
  <r>
    <x v="296"/>
    <x v="2"/>
    <m/>
    <m/>
    <m/>
    <m/>
    <d v="1899-12-30T00:00:00"/>
    <n v="0"/>
    <m/>
    <m/>
  </r>
  <r>
    <x v="297"/>
    <x v="3"/>
    <m/>
    <m/>
    <m/>
    <m/>
    <d v="1899-12-30T00:00:00"/>
    <n v="0"/>
    <m/>
    <m/>
  </r>
  <r>
    <x v="298"/>
    <x v="4"/>
    <m/>
    <m/>
    <m/>
    <m/>
    <d v="1899-12-30T00:00:00"/>
    <n v="0"/>
    <m/>
    <m/>
  </r>
  <r>
    <x v="299"/>
    <x v="5"/>
    <m/>
    <m/>
    <m/>
    <m/>
    <d v="1899-12-30T00:00:00"/>
    <n v="0"/>
    <m/>
    <m/>
  </r>
  <r>
    <x v="300"/>
    <x v="6"/>
    <m/>
    <m/>
    <m/>
    <m/>
    <d v="1899-12-30T00:00:00"/>
    <n v="0"/>
    <m/>
    <m/>
  </r>
  <r>
    <x v="301"/>
    <x v="0"/>
    <m/>
    <m/>
    <m/>
    <m/>
    <d v="1899-12-30T00:00:00"/>
    <n v="0"/>
    <m/>
    <m/>
  </r>
  <r>
    <x v="302"/>
    <x v="1"/>
    <m/>
    <m/>
    <m/>
    <m/>
    <d v="1899-12-30T00:00:00"/>
    <n v="0"/>
    <m/>
    <m/>
  </r>
  <r>
    <x v="303"/>
    <x v="2"/>
    <m/>
    <m/>
    <m/>
    <m/>
    <d v="1899-12-30T00:00:00"/>
    <n v="0"/>
    <m/>
    <m/>
  </r>
  <r>
    <x v="304"/>
    <x v="3"/>
    <m/>
    <m/>
    <m/>
    <m/>
    <d v="1899-12-30T00:00:00"/>
    <n v="0"/>
    <m/>
    <m/>
  </r>
  <r>
    <x v="305"/>
    <x v="4"/>
    <m/>
    <m/>
    <m/>
    <m/>
    <d v="1899-12-30T00:00:00"/>
    <n v="0"/>
    <m/>
    <m/>
  </r>
  <r>
    <x v="306"/>
    <x v="5"/>
    <m/>
    <m/>
    <m/>
    <m/>
    <d v="1899-12-30T00:00:00"/>
    <n v="0"/>
    <m/>
    <m/>
  </r>
  <r>
    <x v="307"/>
    <x v="6"/>
    <m/>
    <m/>
    <m/>
    <m/>
    <d v="1899-12-30T00:00:00"/>
    <n v="0"/>
    <m/>
    <m/>
  </r>
  <r>
    <x v="308"/>
    <x v="0"/>
    <m/>
    <m/>
    <m/>
    <m/>
    <d v="1899-12-30T00:00:00"/>
    <n v="0"/>
    <m/>
    <m/>
  </r>
  <r>
    <x v="309"/>
    <x v="1"/>
    <m/>
    <m/>
    <m/>
    <m/>
    <d v="1899-12-30T00:00:00"/>
    <n v="0"/>
    <m/>
    <m/>
  </r>
  <r>
    <x v="310"/>
    <x v="2"/>
    <m/>
    <m/>
    <m/>
    <m/>
    <d v="1899-12-30T00:00:00"/>
    <n v="0"/>
    <m/>
    <m/>
  </r>
  <r>
    <x v="311"/>
    <x v="3"/>
    <m/>
    <m/>
    <m/>
    <m/>
    <d v="1899-12-30T00:00:00"/>
    <n v="0"/>
    <m/>
    <m/>
  </r>
  <r>
    <x v="312"/>
    <x v="4"/>
    <m/>
    <m/>
    <m/>
    <m/>
    <d v="1899-12-30T00:00:00"/>
    <n v="0"/>
    <m/>
    <m/>
  </r>
  <r>
    <x v="313"/>
    <x v="5"/>
    <m/>
    <m/>
    <m/>
    <m/>
    <d v="1899-12-30T00:00:00"/>
    <n v="0"/>
    <m/>
    <m/>
  </r>
  <r>
    <x v="314"/>
    <x v="6"/>
    <m/>
    <m/>
    <m/>
    <m/>
    <d v="1899-12-30T00:00:00"/>
    <n v="0"/>
    <m/>
    <m/>
  </r>
  <r>
    <x v="315"/>
    <x v="0"/>
    <m/>
    <m/>
    <m/>
    <m/>
    <d v="1899-12-30T00:00:00"/>
    <n v="0"/>
    <m/>
    <m/>
  </r>
  <r>
    <x v="316"/>
    <x v="1"/>
    <m/>
    <m/>
    <m/>
    <m/>
    <d v="1899-12-30T00:00:00"/>
    <n v="0"/>
    <m/>
    <m/>
  </r>
  <r>
    <x v="317"/>
    <x v="2"/>
    <m/>
    <m/>
    <m/>
    <m/>
    <d v="1899-12-30T00:00:00"/>
    <n v="0"/>
    <m/>
    <m/>
  </r>
  <r>
    <x v="318"/>
    <x v="3"/>
    <m/>
    <m/>
    <m/>
    <m/>
    <d v="1899-12-30T00:00:00"/>
    <n v="0"/>
    <m/>
    <m/>
  </r>
  <r>
    <x v="319"/>
    <x v="4"/>
    <m/>
    <m/>
    <m/>
    <m/>
    <d v="1899-12-30T00:00:00"/>
    <n v="0"/>
    <m/>
    <m/>
  </r>
  <r>
    <x v="320"/>
    <x v="5"/>
    <m/>
    <m/>
    <m/>
    <m/>
    <d v="1899-12-30T00:00:00"/>
    <n v="0"/>
    <m/>
    <m/>
  </r>
  <r>
    <x v="321"/>
    <x v="6"/>
    <m/>
    <m/>
    <m/>
    <m/>
    <d v="1899-12-30T00:00:00"/>
    <n v="0"/>
    <m/>
    <m/>
  </r>
  <r>
    <x v="322"/>
    <x v="0"/>
    <m/>
    <m/>
    <m/>
    <m/>
    <d v="1899-12-30T00:00:00"/>
    <n v="0"/>
    <m/>
    <m/>
  </r>
  <r>
    <x v="323"/>
    <x v="1"/>
    <m/>
    <m/>
    <m/>
    <m/>
    <d v="1899-12-30T00:00:00"/>
    <n v="0"/>
    <m/>
    <m/>
  </r>
  <r>
    <x v="324"/>
    <x v="2"/>
    <m/>
    <m/>
    <m/>
    <m/>
    <d v="1899-12-30T00:00:00"/>
    <n v="0"/>
    <m/>
    <m/>
  </r>
  <r>
    <x v="325"/>
    <x v="3"/>
    <m/>
    <m/>
    <m/>
    <m/>
    <d v="1899-12-30T00:00:00"/>
    <n v="0"/>
    <m/>
    <m/>
  </r>
  <r>
    <x v="326"/>
    <x v="4"/>
    <m/>
    <m/>
    <m/>
    <m/>
    <d v="1899-12-30T00:00:00"/>
    <n v="0"/>
    <m/>
    <m/>
  </r>
  <r>
    <x v="327"/>
    <x v="5"/>
    <m/>
    <m/>
    <m/>
    <m/>
    <d v="1899-12-30T00:00:00"/>
    <n v="0"/>
    <m/>
    <m/>
  </r>
  <r>
    <x v="328"/>
    <x v="6"/>
    <m/>
    <m/>
    <m/>
    <m/>
    <d v="1899-12-30T00:00:00"/>
    <n v="0"/>
    <m/>
    <m/>
  </r>
  <r>
    <x v="329"/>
    <x v="0"/>
    <m/>
    <m/>
    <m/>
    <m/>
    <d v="1899-12-30T00:00:00"/>
    <n v="0"/>
    <m/>
    <m/>
  </r>
  <r>
    <x v="330"/>
    <x v="1"/>
    <m/>
    <m/>
    <m/>
    <m/>
    <d v="1899-12-30T00:00:00"/>
    <n v="0"/>
    <m/>
    <m/>
  </r>
  <r>
    <x v="331"/>
    <x v="2"/>
    <m/>
    <m/>
    <m/>
    <m/>
    <d v="1899-12-30T00:00:00"/>
    <n v="0"/>
    <m/>
    <m/>
  </r>
  <r>
    <x v="332"/>
    <x v="3"/>
    <m/>
    <m/>
    <m/>
    <m/>
    <d v="1899-12-30T00:00:00"/>
    <n v="0"/>
    <m/>
    <m/>
  </r>
  <r>
    <x v="333"/>
    <x v="4"/>
    <m/>
    <m/>
    <m/>
    <m/>
    <d v="1899-12-30T00:00:00"/>
    <n v="0"/>
    <m/>
    <m/>
  </r>
  <r>
    <x v="334"/>
    <x v="5"/>
    <m/>
    <m/>
    <m/>
    <m/>
    <d v="1899-12-30T00:00:00"/>
    <n v="0"/>
    <m/>
    <m/>
  </r>
  <r>
    <x v="335"/>
    <x v="6"/>
    <m/>
    <m/>
    <m/>
    <m/>
    <d v="1899-12-30T00:00:00"/>
    <n v="0"/>
    <m/>
    <m/>
  </r>
  <r>
    <x v="336"/>
    <x v="0"/>
    <m/>
    <m/>
    <m/>
    <m/>
    <d v="1899-12-30T00:00:00"/>
    <n v="0"/>
    <m/>
    <m/>
  </r>
  <r>
    <x v="337"/>
    <x v="1"/>
    <m/>
    <m/>
    <m/>
    <m/>
    <d v="1899-12-30T00:00:00"/>
    <n v="0"/>
    <m/>
    <m/>
  </r>
  <r>
    <x v="338"/>
    <x v="2"/>
    <m/>
    <m/>
    <m/>
    <m/>
    <d v="1899-12-30T00:00:00"/>
    <n v="0"/>
    <m/>
    <m/>
  </r>
  <r>
    <x v="339"/>
    <x v="3"/>
    <m/>
    <m/>
    <m/>
    <m/>
    <d v="1899-12-30T00:00:00"/>
    <n v="0"/>
    <m/>
    <m/>
  </r>
  <r>
    <x v="340"/>
    <x v="4"/>
    <m/>
    <m/>
    <m/>
    <m/>
    <d v="1899-12-30T00:00:00"/>
    <n v="0"/>
    <m/>
    <m/>
  </r>
  <r>
    <x v="341"/>
    <x v="5"/>
    <m/>
    <m/>
    <m/>
    <m/>
    <d v="1899-12-30T00:00:00"/>
    <n v="0"/>
    <m/>
    <m/>
  </r>
  <r>
    <x v="342"/>
    <x v="6"/>
    <m/>
    <m/>
    <m/>
    <m/>
    <d v="1899-12-30T00:00:00"/>
    <n v="0"/>
    <m/>
    <m/>
  </r>
  <r>
    <x v="343"/>
    <x v="0"/>
    <m/>
    <m/>
    <m/>
    <m/>
    <d v="1899-12-30T00:00:00"/>
    <n v="0"/>
    <m/>
    <m/>
  </r>
  <r>
    <x v="344"/>
    <x v="1"/>
    <m/>
    <m/>
    <m/>
    <m/>
    <d v="1899-12-30T00:00:00"/>
    <n v="0"/>
    <m/>
    <m/>
  </r>
  <r>
    <x v="345"/>
    <x v="2"/>
    <m/>
    <m/>
    <m/>
    <m/>
    <d v="1899-12-30T00:00:00"/>
    <n v="0"/>
    <m/>
    <m/>
  </r>
  <r>
    <x v="346"/>
    <x v="3"/>
    <m/>
    <m/>
    <m/>
    <m/>
    <d v="1899-12-30T00:00:00"/>
    <n v="0"/>
    <m/>
    <m/>
  </r>
  <r>
    <x v="347"/>
    <x v="4"/>
    <m/>
    <m/>
    <m/>
    <m/>
    <d v="1899-12-30T00:00:00"/>
    <n v="0"/>
    <m/>
    <m/>
  </r>
  <r>
    <x v="348"/>
    <x v="5"/>
    <m/>
    <m/>
    <m/>
    <m/>
    <d v="1899-12-30T00:00:00"/>
    <n v="0"/>
    <m/>
    <m/>
  </r>
  <r>
    <x v="349"/>
    <x v="6"/>
    <m/>
    <m/>
    <m/>
    <m/>
    <d v="1899-12-30T00:00:00"/>
    <n v="0"/>
    <m/>
    <m/>
  </r>
  <r>
    <x v="350"/>
    <x v="0"/>
    <m/>
    <m/>
    <m/>
    <m/>
    <d v="1899-12-30T00:00:00"/>
    <n v="0"/>
    <m/>
    <m/>
  </r>
  <r>
    <x v="351"/>
    <x v="1"/>
    <m/>
    <m/>
    <m/>
    <m/>
    <d v="1899-12-30T00:00:00"/>
    <n v="0"/>
    <m/>
    <m/>
  </r>
  <r>
    <x v="352"/>
    <x v="2"/>
    <m/>
    <m/>
    <m/>
    <m/>
    <d v="1899-12-30T00:00:00"/>
    <n v="0"/>
    <m/>
    <m/>
  </r>
  <r>
    <x v="353"/>
    <x v="3"/>
    <m/>
    <m/>
    <m/>
    <m/>
    <d v="1899-12-30T00:00:00"/>
    <n v="0"/>
    <m/>
    <m/>
  </r>
  <r>
    <x v="354"/>
    <x v="4"/>
    <m/>
    <m/>
    <m/>
    <m/>
    <d v="1899-12-30T00:00:00"/>
    <n v="0"/>
    <m/>
    <m/>
  </r>
  <r>
    <x v="355"/>
    <x v="5"/>
    <m/>
    <m/>
    <m/>
    <m/>
    <d v="1899-12-30T00:00:00"/>
    <n v="0"/>
    <m/>
    <m/>
  </r>
  <r>
    <x v="356"/>
    <x v="6"/>
    <m/>
    <m/>
    <m/>
    <m/>
    <d v="1899-12-30T00:00:00"/>
    <n v="0"/>
    <m/>
    <m/>
  </r>
  <r>
    <x v="357"/>
    <x v="0"/>
    <m/>
    <m/>
    <m/>
    <m/>
    <d v="1899-12-30T00:00:00"/>
    <n v="0"/>
    <m/>
    <m/>
  </r>
  <r>
    <x v="358"/>
    <x v="1"/>
    <m/>
    <m/>
    <m/>
    <m/>
    <d v="1899-12-30T00:00:00"/>
    <n v="0"/>
    <m/>
    <m/>
  </r>
  <r>
    <x v="359"/>
    <x v="2"/>
    <m/>
    <m/>
    <m/>
    <m/>
    <d v="1899-12-30T00:00:00"/>
    <n v="0"/>
    <m/>
    <m/>
  </r>
  <r>
    <x v="360"/>
    <x v="3"/>
    <m/>
    <m/>
    <m/>
    <m/>
    <d v="1899-12-30T00:00:00"/>
    <n v="0"/>
    <m/>
    <m/>
  </r>
  <r>
    <x v="361"/>
    <x v="4"/>
    <m/>
    <m/>
    <m/>
    <m/>
    <d v="1899-12-30T00:00:00"/>
    <n v="0"/>
    <m/>
    <m/>
  </r>
  <r>
    <x v="362"/>
    <x v="5"/>
    <m/>
    <m/>
    <m/>
    <m/>
    <d v="1899-12-30T00:00:00"/>
    <n v="0"/>
    <m/>
    <m/>
  </r>
  <r>
    <x v="363"/>
    <x v="6"/>
    <m/>
    <m/>
    <m/>
    <m/>
    <d v="1899-12-30T00:00:00"/>
    <n v="0"/>
    <m/>
    <m/>
  </r>
  <r>
    <x v="364"/>
    <x v="0"/>
    <m/>
    <m/>
    <m/>
    <m/>
    <d v="1899-12-30T00:00:00"/>
    <n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s v="Quinta-feira"/>
    <m/>
    <m/>
    <m/>
    <m/>
    <d v="1899-12-30T00:00:00"/>
    <n v="0"/>
  </r>
  <r>
    <x v="1"/>
    <s v="Sexta-feira"/>
    <m/>
    <m/>
    <m/>
    <m/>
    <d v="1899-12-30T00:00:00"/>
    <n v="0"/>
  </r>
  <r>
    <x v="2"/>
    <s v="Sábado"/>
    <m/>
    <m/>
    <m/>
    <m/>
    <d v="1899-12-30T00:00:00"/>
    <n v="0"/>
  </r>
  <r>
    <x v="3"/>
    <s v="Domingo"/>
    <m/>
    <m/>
    <m/>
    <m/>
    <d v="1899-12-30T00:00:00"/>
    <n v="0"/>
  </r>
  <r>
    <x v="4"/>
    <s v="Segunda-feira"/>
    <m/>
    <m/>
    <m/>
    <m/>
    <d v="1899-12-30T00:00:00"/>
    <n v="0"/>
  </r>
  <r>
    <x v="5"/>
    <s v="Terça-feira"/>
    <s v="17:05"/>
    <s v="21:10"/>
    <m/>
    <m/>
    <d v="1899-12-30T04:05:00"/>
    <n v="48.999999999999986"/>
  </r>
  <r>
    <x v="6"/>
    <s v="Quarta-feira"/>
    <s v="16:10"/>
    <s v="21:20"/>
    <m/>
    <m/>
    <d v="1899-12-30T05:10:00"/>
    <n v="61.999999999999972"/>
  </r>
  <r>
    <x v="7"/>
    <s v="Quinta-feira"/>
    <s v="16:40"/>
    <s v="21:00"/>
    <m/>
    <m/>
    <d v="1899-12-30T04:20:00"/>
    <n v="52.000000000000007"/>
  </r>
  <r>
    <x v="8"/>
    <s v="Sexta-feira"/>
    <s v="17:05"/>
    <s v="21:00"/>
    <m/>
    <m/>
    <d v="1899-12-30T03:55:00"/>
    <n v="46.999999999999993"/>
  </r>
  <r>
    <x v="9"/>
    <s v="Sábado"/>
    <s v="09:20"/>
    <s v="12:00"/>
    <s v="13:30"/>
    <s v="21:45"/>
    <d v="1899-12-30T10:55:00"/>
    <n v="131"/>
  </r>
  <r>
    <x v="10"/>
    <s v="Domingo"/>
    <m/>
    <m/>
    <m/>
    <m/>
    <d v="1899-12-30T00:00:00"/>
    <n v="0"/>
  </r>
  <r>
    <x v="11"/>
    <s v="Segunda-feira"/>
    <m/>
    <m/>
    <m/>
    <m/>
    <d v="1899-12-30T00:00:00"/>
    <n v="0"/>
  </r>
  <r>
    <x v="12"/>
    <s v="Terça-feira"/>
    <s v="17:05"/>
    <s v="21:00"/>
    <m/>
    <m/>
    <d v="1899-12-30T03:55:00"/>
    <n v="46.999999999999993"/>
  </r>
  <r>
    <x v="13"/>
    <s v="Quarta-feira"/>
    <s v="17:00"/>
    <s v="21:00"/>
    <m/>
    <m/>
    <d v="1899-12-30T04:00:00"/>
    <n v="47.999999999999986"/>
  </r>
  <r>
    <x v="14"/>
    <s v="Quinta-feira"/>
    <s v="17:05"/>
    <s v="22:00"/>
    <m/>
    <m/>
    <d v="1899-12-30T04:55:00"/>
    <n v="58.999999999999986"/>
  </r>
  <r>
    <x v="15"/>
    <s v="Sexta-feira"/>
    <s v="17:00"/>
    <s v="21:15"/>
    <m/>
    <m/>
    <d v="1899-12-30T04:15:00"/>
    <n v="50.999999999999979"/>
  </r>
  <r>
    <x v="16"/>
    <s v="Sábado"/>
    <s v="09:35"/>
    <s v="12:00"/>
    <s v="13:30"/>
    <s v="21:13"/>
    <d v="1899-12-30T10:08:00"/>
    <n v="121.6"/>
  </r>
  <r>
    <x v="17"/>
    <s v="Domingo"/>
    <m/>
    <m/>
    <m/>
    <m/>
    <d v="1899-12-30T00:00:00"/>
    <n v="0"/>
  </r>
  <r>
    <x v="18"/>
    <s v="Segunda-feira"/>
    <m/>
    <m/>
    <m/>
    <m/>
    <d v="1899-12-30T00:00:00"/>
    <n v="0"/>
  </r>
  <r>
    <x v="19"/>
    <s v="Terça-feira"/>
    <s v="17:05"/>
    <s v="21:15"/>
    <m/>
    <m/>
    <d v="1899-12-30T04:10:00"/>
    <n v="49.999999999999986"/>
  </r>
  <r>
    <x v="20"/>
    <s v="Quarta-feira"/>
    <s v="17:10"/>
    <s v="22:05"/>
    <m/>
    <m/>
    <d v="1899-12-30T04:55:00"/>
    <n v="58.999999999999986"/>
  </r>
  <r>
    <x v="21"/>
    <s v="Quinta-feira"/>
    <s v="17:05"/>
    <s v="21:00"/>
    <m/>
    <m/>
    <d v="1899-12-30T03:55:00"/>
    <n v="46.999999999999993"/>
  </r>
  <r>
    <x v="22"/>
    <s v="Sexta-feira"/>
    <s v="17:05"/>
    <s v="21:20"/>
    <m/>
    <m/>
    <d v="1899-12-30T04:15:00"/>
    <n v="50.999999999999979"/>
  </r>
  <r>
    <x v="23"/>
    <s v="Sábado"/>
    <s v="13:25"/>
    <s v="21:10"/>
    <m/>
    <m/>
    <d v="1899-12-30T07:45:00"/>
    <n v="92.999999999999986"/>
  </r>
  <r>
    <x v="24"/>
    <s v="Domingo"/>
    <m/>
    <m/>
    <m/>
    <m/>
    <d v="1899-12-30T00:00:00"/>
    <n v="0"/>
  </r>
  <r>
    <x v="25"/>
    <s v="Segunda-feira"/>
    <m/>
    <m/>
    <m/>
    <m/>
    <d v="1899-12-30T00:00:00"/>
    <n v="0"/>
  </r>
  <r>
    <x v="26"/>
    <s v="Terça-feira"/>
    <s v="16:20"/>
    <s v="23:15"/>
    <m/>
    <m/>
    <d v="1899-12-30T06:55:00"/>
    <n v="83"/>
  </r>
  <r>
    <x v="27"/>
    <s v="Quarta-feira"/>
    <s v="17:05"/>
    <s v="21:45"/>
    <m/>
    <m/>
    <d v="1899-12-30T04:40:00"/>
    <n v="55.999999999999993"/>
  </r>
  <r>
    <x v="28"/>
    <s v="Quinta-feira"/>
    <s v="16:50"/>
    <d v="1899-12-30T21:00:00"/>
    <m/>
    <m/>
    <d v="1899-12-30T04:10:00"/>
    <n v="50.000000000000014"/>
  </r>
  <r>
    <x v="29"/>
    <s v="Sexta-feira"/>
    <d v="1899-12-30T17:08:00"/>
    <d v="1899-12-30T21:50:00"/>
    <m/>
    <m/>
    <d v="1899-12-30T04:42:00"/>
    <n v="56.399999999999991"/>
  </r>
  <r>
    <x v="30"/>
    <s v="Sábado"/>
    <d v="1899-12-30T09:35:00"/>
    <d v="1899-12-30T12:00:00"/>
    <d v="1899-12-30T13:25:00"/>
    <d v="1899-12-30T21:00:00"/>
    <d v="1899-12-30T10:00:00"/>
    <n v="120"/>
  </r>
  <r>
    <x v="31"/>
    <s v="Domingo"/>
    <m/>
    <m/>
    <m/>
    <m/>
    <d v="1899-12-30T00:00:00"/>
    <n v="0"/>
  </r>
  <r>
    <x v="32"/>
    <s v="Segunda-feira"/>
    <m/>
    <m/>
    <m/>
    <m/>
    <d v="1899-12-30T00:00:00"/>
    <n v="0"/>
  </r>
  <r>
    <x v="33"/>
    <s v="Terça-feira"/>
    <m/>
    <m/>
    <m/>
    <m/>
    <d v="1899-12-30T00:00:00"/>
    <n v="0"/>
  </r>
  <r>
    <x v="34"/>
    <s v="Quarta-feira"/>
    <d v="1899-12-30T17:25:00"/>
    <d v="1899-12-30T21:00:00"/>
    <m/>
    <m/>
    <d v="1899-12-30T03:35:00"/>
    <n v="43.000000000000007"/>
  </r>
  <r>
    <x v="35"/>
    <s v="Quinta-feira"/>
    <d v="1899-12-30T17:05:00"/>
    <d v="1899-12-30T21:00:00"/>
    <m/>
    <m/>
    <d v="1899-12-30T03:55:00"/>
    <n v="46.999999999999993"/>
  </r>
  <r>
    <x v="36"/>
    <s v="Sexta-feira"/>
    <d v="1899-12-30T17:00:00"/>
    <d v="1899-12-30T21:15:00"/>
    <m/>
    <m/>
    <d v="1899-12-30T04:15:00"/>
    <n v="50.999999999999979"/>
  </r>
  <r>
    <x v="37"/>
    <s v="Sábado"/>
    <d v="1899-12-30T08:45:00"/>
    <d v="1899-12-30T12:00:00"/>
    <d v="1899-12-30T13:40:00"/>
    <d v="1899-12-30T21:00:00"/>
    <d v="1899-12-30T10:35:00"/>
    <n v="127"/>
  </r>
  <r>
    <x v="38"/>
    <s v="Domingo"/>
    <m/>
    <m/>
    <m/>
    <m/>
    <d v="1899-12-30T00:00:00"/>
    <n v="0"/>
  </r>
  <r>
    <x v="39"/>
    <s v="Segunda-feira"/>
    <m/>
    <m/>
    <m/>
    <m/>
    <d v="1899-12-30T00:00:00"/>
    <n v="0"/>
  </r>
  <r>
    <x v="40"/>
    <s v="Terça-feira"/>
    <d v="1899-12-30T17:00:00"/>
    <d v="1899-12-30T21:40:00"/>
    <m/>
    <m/>
    <d v="1899-12-30T04:40:00"/>
    <n v="55.999999999999993"/>
  </r>
  <r>
    <x v="41"/>
    <s v="Quarta-feira"/>
    <d v="1899-12-30T17:00:00"/>
    <d v="1899-12-30T22:05:00"/>
    <m/>
    <m/>
    <d v="1899-12-30T05:05:00"/>
    <n v="60.999999999999972"/>
  </r>
  <r>
    <x v="42"/>
    <s v="Quinta-feira"/>
    <d v="1899-12-30T17:05:00"/>
    <d v="1899-12-30T21:30:00"/>
    <m/>
    <m/>
    <d v="1899-12-30T04:25:00"/>
    <n v="53"/>
  </r>
  <r>
    <x v="43"/>
    <s v="Sexta-feira"/>
    <d v="1899-12-30T17:05:00"/>
    <d v="1899-12-30T21:25:00"/>
    <m/>
    <m/>
    <d v="1899-12-30T04:20:00"/>
    <n v="52.000000000000007"/>
  </r>
  <r>
    <x v="44"/>
    <s v="Sábado"/>
    <d v="1899-12-30T08:50:00"/>
    <d v="1899-12-30T12:00:00"/>
    <d v="1899-12-30T13:35:00"/>
    <d v="1899-12-30T21:00:00"/>
    <d v="1899-12-30T10:35:00"/>
    <n v="126.99999999999999"/>
  </r>
  <r>
    <x v="45"/>
    <s v="Domingo"/>
    <m/>
    <m/>
    <m/>
    <m/>
    <d v="1899-12-30T00:00:00"/>
    <n v="0"/>
  </r>
  <r>
    <x v="46"/>
    <s v="Segunda-feira"/>
    <m/>
    <m/>
    <m/>
    <m/>
    <d v="1899-12-30T00:00:00"/>
    <n v="0"/>
  </r>
  <r>
    <x v="47"/>
    <s v="Terça-feira"/>
    <m/>
    <m/>
    <m/>
    <m/>
    <d v="1899-12-30T00:00:00"/>
    <n v="0"/>
  </r>
  <r>
    <x v="48"/>
    <s v="Quarta-feira"/>
    <m/>
    <m/>
    <m/>
    <m/>
    <d v="1899-12-30T00:00:00"/>
    <n v="0"/>
  </r>
  <r>
    <x v="49"/>
    <s v="Quinta-feira"/>
    <d v="1899-12-30T17:00:00"/>
    <d v="1899-12-30T21:00:00"/>
    <m/>
    <m/>
    <d v="1899-12-30T04:00:00"/>
    <n v="47.999999999999986"/>
  </r>
  <r>
    <x v="50"/>
    <s v="Sexta-feira"/>
    <d v="1899-12-30T16:55:00"/>
    <d v="1899-12-30T21:30:00"/>
    <m/>
    <m/>
    <d v="1899-12-30T04:35:00"/>
    <n v="55"/>
  </r>
  <r>
    <x v="51"/>
    <s v="Sábado"/>
    <d v="1899-12-30T08:40:00"/>
    <d v="1899-12-30T12:00:00"/>
    <d v="1899-12-30T13:40:00"/>
    <d v="1899-12-30T21:15:00"/>
    <d v="1899-12-30T10:55:00"/>
    <n v="131"/>
  </r>
  <r>
    <x v="52"/>
    <s v="Domingo"/>
    <m/>
    <m/>
    <m/>
    <m/>
    <d v="1899-12-30T00:00:00"/>
    <n v="0"/>
  </r>
  <r>
    <x v="53"/>
    <s v="Segunda-feira"/>
    <m/>
    <m/>
    <m/>
    <m/>
    <d v="1899-12-30T00:00:00"/>
    <n v="0"/>
  </r>
  <r>
    <x v="54"/>
    <s v="Terça-feira"/>
    <d v="1899-12-30T16:15:00"/>
    <d v="1899-12-30T22:50:00"/>
    <m/>
    <m/>
    <d v="1899-12-30T06:35:00"/>
    <n v="78.999999999999972"/>
  </r>
  <r>
    <x v="55"/>
    <s v="Quarta-feira"/>
    <d v="1899-12-30T16:55:00"/>
    <d v="1899-12-30T22:30:00"/>
    <m/>
    <m/>
    <d v="1899-12-30T05:35:00"/>
    <n v="66.999999999999986"/>
  </r>
  <r>
    <x v="56"/>
    <s v="Quinta-feira"/>
    <d v="1899-12-30T17:05:00"/>
    <d v="1899-12-30T21:45:00"/>
    <m/>
    <m/>
    <d v="1899-12-30T04:40:00"/>
    <n v="55.999999999999993"/>
  </r>
  <r>
    <x v="57"/>
    <s v="Sexta-feira"/>
    <d v="1899-12-30T17:15:00"/>
    <d v="1899-12-30T22:56:00"/>
    <m/>
    <m/>
    <d v="1899-12-30T05:41:00"/>
    <n v="68.200000000000017"/>
  </r>
  <r>
    <x v="58"/>
    <s v="Sábado"/>
    <d v="1899-12-30T08:50:00"/>
    <d v="1899-12-30T12:00:00"/>
    <d v="1899-12-30T13:30:00"/>
    <d v="1899-12-30T22:50:00"/>
    <d v="1899-12-30T12:30:00"/>
    <n v="149.99999999999997"/>
  </r>
  <r>
    <x v="59"/>
    <s v="Domingo"/>
    <m/>
    <m/>
    <m/>
    <m/>
    <d v="1899-12-30T00:00:00"/>
    <n v="0"/>
  </r>
  <r>
    <x v="60"/>
    <s v="Segunda-feira"/>
    <m/>
    <m/>
    <m/>
    <m/>
    <d v="1899-12-30T00:00:00"/>
    <n v="0"/>
  </r>
  <r>
    <x v="61"/>
    <s v="Terça-feira"/>
    <m/>
    <m/>
    <m/>
    <m/>
    <d v="1899-12-30T00:00:00"/>
    <n v="0"/>
  </r>
  <r>
    <x v="62"/>
    <s v="Quarta-feira"/>
    <d v="1899-12-30T17:15:00"/>
    <d v="1899-12-30T21:05:00"/>
    <m/>
    <m/>
    <d v="1899-12-30T03:50:00"/>
    <n v="46"/>
  </r>
  <r>
    <x v="63"/>
    <s v="Quinta-feira"/>
    <d v="1899-12-30T17:10:00"/>
    <d v="1899-12-30T21:10:00"/>
    <m/>
    <m/>
    <d v="1899-12-30T04:00:00"/>
    <n v="47.999999999999986"/>
  </r>
  <r>
    <x v="64"/>
    <s v="Sexta-feira"/>
    <d v="1899-12-30T17:28:00"/>
    <d v="1899-12-30T21:00:00"/>
    <m/>
    <m/>
    <d v="1899-12-30T03:32:00"/>
    <n v="42.400000000000006"/>
  </r>
  <r>
    <x v="65"/>
    <s v="Sábado"/>
    <d v="1899-12-30T09:05:00"/>
    <d v="1899-12-30T12:00:00"/>
    <d v="1899-12-30T13:45:00"/>
    <d v="1899-12-30T21:58:00"/>
    <d v="1899-12-30T11:08:00"/>
    <n v="133.6"/>
  </r>
  <r>
    <x v="66"/>
    <s v="Domingo"/>
    <m/>
    <m/>
    <m/>
    <m/>
    <d v="1899-12-30T00:00:00"/>
    <n v="0"/>
  </r>
  <r>
    <x v="67"/>
    <s v="Segunda-feira"/>
    <m/>
    <m/>
    <m/>
    <m/>
    <d v="1899-12-30T00:00:00"/>
    <n v="0"/>
  </r>
  <r>
    <x v="68"/>
    <s v="Terça-feira"/>
    <d v="1899-12-30T17:30:00"/>
    <d v="1899-12-30T22:30:00"/>
    <m/>
    <m/>
    <d v="1899-12-30T05:00:00"/>
    <n v="60.000000000000014"/>
  </r>
  <r>
    <x v="69"/>
    <s v="Quarta-feira"/>
    <d v="1899-12-30T17:30:00"/>
    <d v="1899-12-30T22:10:00"/>
    <m/>
    <m/>
    <d v="1899-12-30T04:40:00"/>
    <n v="56.000000000000028"/>
  </r>
  <r>
    <x v="70"/>
    <s v="Quinta-feira"/>
    <d v="1899-12-30T17:20:00"/>
    <d v="1899-12-30T21:05:00"/>
    <m/>
    <m/>
    <d v="1899-12-30T03:45:00"/>
    <n v="45"/>
  </r>
  <r>
    <x v="71"/>
    <s v="Sexta-feira"/>
    <d v="1899-12-30T17:30:00"/>
    <d v="1899-12-30T22:00:00"/>
    <m/>
    <m/>
    <d v="1899-12-30T04:30:00"/>
    <n v="54"/>
  </r>
  <r>
    <x v="72"/>
    <s v="Sábado"/>
    <d v="1899-12-30T08:40:00"/>
    <d v="1899-12-30T12:05:00"/>
    <d v="1899-12-30T13:30:00"/>
    <d v="1899-12-30T21:00:00"/>
    <d v="1899-12-30T10:55:00"/>
    <n v="131"/>
  </r>
  <r>
    <x v="73"/>
    <s v="Domingo"/>
    <m/>
    <m/>
    <m/>
    <m/>
    <d v="1899-12-30T00:00:00"/>
    <n v="0"/>
  </r>
  <r>
    <x v="74"/>
    <s v="Segunda-feira"/>
    <m/>
    <m/>
    <m/>
    <m/>
    <d v="1899-12-30T00:00:00"/>
    <n v="0"/>
  </r>
  <r>
    <x v="75"/>
    <s v="Terça-feira"/>
    <d v="1899-12-30T17:25:00"/>
    <d v="1899-12-30T21:55:00"/>
    <m/>
    <m/>
    <d v="1899-12-30T04:30:00"/>
    <n v="54"/>
  </r>
  <r>
    <x v="76"/>
    <s v="Quarta-feira"/>
    <d v="1899-12-30T17:15:00"/>
    <d v="1899-12-30T21:25:00"/>
    <m/>
    <m/>
    <d v="1899-12-30T04:10:00"/>
    <n v="50.000000000000014"/>
  </r>
  <r>
    <x v="77"/>
    <s v="Quinta-feira"/>
    <d v="1899-12-30T17:20:00"/>
    <d v="1899-12-30T21:20:00"/>
    <m/>
    <m/>
    <d v="1899-12-30T04:00:00"/>
    <n v="47.999999999999986"/>
  </r>
  <r>
    <x v="78"/>
    <s v="Sexta-feira"/>
    <d v="1899-12-30T17:25:00"/>
    <d v="1899-12-30T22:10:00"/>
    <m/>
    <m/>
    <d v="1899-12-30T04:45:00"/>
    <n v="57.000000000000021"/>
  </r>
  <r>
    <x v="79"/>
    <s v="Sábado"/>
    <d v="1899-12-30T08:40:00"/>
    <d v="1899-12-30T12:00:00"/>
    <d v="1899-12-30T13:35:00"/>
    <d v="1899-12-30T22:00:00"/>
    <d v="1899-12-30T11:45:00"/>
    <n v="141"/>
  </r>
  <r>
    <x v="80"/>
    <s v="Domingo"/>
    <m/>
    <m/>
    <m/>
    <m/>
    <d v="1899-12-30T00:00:00"/>
    <n v="0"/>
  </r>
  <r>
    <x v="81"/>
    <s v="Segunda-feira"/>
    <m/>
    <m/>
    <m/>
    <m/>
    <d v="1899-12-30T00:00:00"/>
    <n v="0"/>
  </r>
  <r>
    <x v="82"/>
    <s v="Terça-feira"/>
    <d v="1899-12-30T17:40:00"/>
    <d v="1899-12-30T21:15:00"/>
    <m/>
    <m/>
    <d v="1899-12-30T03:35:00"/>
    <n v="42.999999999999972"/>
  </r>
  <r>
    <x v="83"/>
    <s v="Quarta-feira"/>
    <d v="1899-12-30T17:30:00"/>
    <d v="1899-12-30T21:20:00"/>
    <m/>
    <m/>
    <d v="1899-12-30T03:50:00"/>
    <n v="46"/>
  </r>
  <r>
    <x v="84"/>
    <s v="Quinta-feira"/>
    <d v="1899-12-30T17:17:00"/>
    <d v="1899-12-30T21:00:00"/>
    <m/>
    <m/>
    <d v="1899-12-30T03:43:00"/>
    <n v="44.6"/>
  </r>
  <r>
    <x v="85"/>
    <s v="Sexta-feira"/>
    <d v="1899-12-30T17:25:00"/>
    <d v="1899-12-30T21:35:00"/>
    <m/>
    <m/>
    <d v="1899-12-30T04:10:00"/>
    <n v="50.000000000000014"/>
  </r>
  <r>
    <x v="86"/>
    <s v="Sábado"/>
    <d v="1899-12-30T08:45:00"/>
    <d v="1899-12-30T12:00:00"/>
    <d v="1899-12-30T13:37:00"/>
    <d v="1899-12-30T21:00:00"/>
    <d v="1899-12-30T10:38:00"/>
    <n v="127.60000000000002"/>
  </r>
  <r>
    <x v="87"/>
    <s v="Domingo"/>
    <m/>
    <m/>
    <m/>
    <m/>
    <d v="1899-12-30T00:00:00"/>
    <n v="0"/>
  </r>
  <r>
    <x v="88"/>
    <s v="Segunda-feira"/>
    <m/>
    <m/>
    <m/>
    <m/>
    <d v="1899-12-30T00:00:00"/>
    <n v="0"/>
  </r>
  <r>
    <x v="89"/>
    <s v="Terça-feira"/>
    <d v="1899-12-30T16:35:00"/>
    <d v="1899-12-30T22:05:00"/>
    <m/>
    <m/>
    <d v="1899-12-30T05:30:00"/>
    <n v="65.999999999999986"/>
  </r>
  <r>
    <x v="90"/>
    <s v="Quarta-feira"/>
    <d v="1899-12-30T17:10:00"/>
    <d v="1899-12-30T21:00:00"/>
    <m/>
    <m/>
    <d v="1899-12-30T03:50:00"/>
    <n v="46"/>
  </r>
  <r>
    <x v="91"/>
    <s v="Quinta-feira"/>
    <d v="1899-12-30T17:17:00"/>
    <d v="1899-12-30T21:08:00"/>
    <m/>
    <m/>
    <d v="1899-12-30T03:51:00"/>
    <n v="46.199999999999996"/>
  </r>
  <r>
    <x v="92"/>
    <s v="Sexta-feira"/>
    <m/>
    <m/>
    <m/>
    <m/>
    <d v="1899-12-30T00:00:00"/>
    <n v="0"/>
  </r>
  <r>
    <x v="93"/>
    <s v="Sábado"/>
    <m/>
    <m/>
    <m/>
    <m/>
    <d v="1899-12-30T00:00:00"/>
    <n v="0"/>
  </r>
  <r>
    <x v="94"/>
    <s v="Domingo"/>
    <m/>
    <m/>
    <m/>
    <m/>
    <d v="1899-12-30T00:00:00"/>
    <n v="0"/>
  </r>
  <r>
    <x v="95"/>
    <s v="Segunda-feira"/>
    <m/>
    <m/>
    <m/>
    <m/>
    <d v="1899-12-30T00:00:00"/>
    <n v="0"/>
  </r>
  <r>
    <x v="96"/>
    <s v="Terça-feira"/>
    <d v="1899-12-30T17:24:00"/>
    <d v="1899-12-30T21:40:00"/>
    <m/>
    <m/>
    <d v="1899-12-30T04:16:00"/>
    <n v="51.20000000000001"/>
  </r>
  <r>
    <x v="97"/>
    <s v="Quarta-feira"/>
    <d v="1899-12-30T17:08:00"/>
    <d v="1899-12-30T21:00:00"/>
    <m/>
    <m/>
    <d v="1899-12-30T03:52:00"/>
    <n v="46.399999999999991"/>
  </r>
  <r>
    <x v="98"/>
    <s v="Quinta-feira"/>
    <d v="1899-12-30T17:25:00"/>
    <d v="1899-12-30T22:30:00"/>
    <m/>
    <m/>
    <d v="1899-12-30T05:05:00"/>
    <n v="61.000000000000007"/>
  </r>
  <r>
    <x v="99"/>
    <s v="Sexta-feira"/>
    <d v="1899-12-30T17:19:00"/>
    <d v="1899-12-30T21:10:00"/>
    <m/>
    <m/>
    <d v="1899-12-30T03:51:00"/>
    <n v="46.199999999999996"/>
  </r>
  <r>
    <x v="100"/>
    <s v="Sábado"/>
    <d v="1899-12-30T08:45:00"/>
    <d v="1899-12-30T12:00:00"/>
    <d v="1899-12-30T13:40:00"/>
    <d v="1899-12-30T21:00:00"/>
    <d v="1899-12-30T10:35:00"/>
    <n v="127"/>
  </r>
  <r>
    <x v="101"/>
    <s v="Domingo"/>
    <m/>
    <m/>
    <m/>
    <m/>
    <d v="1899-12-30T00:00:00"/>
    <n v="0"/>
  </r>
  <r>
    <x v="102"/>
    <s v="Segunda-feira"/>
    <m/>
    <m/>
    <m/>
    <m/>
    <d v="1899-12-30T00:00:00"/>
    <n v="0"/>
  </r>
  <r>
    <x v="103"/>
    <s v="Terça-feira"/>
    <d v="1899-12-30T17:00:00"/>
    <d v="1899-12-30T22:50:00"/>
    <m/>
    <m/>
    <d v="1899-12-30T05:50:00"/>
    <n v="69.999999999999972"/>
  </r>
  <r>
    <x v="104"/>
    <s v="Quarta-feira"/>
    <d v="1899-12-30T17:25:00"/>
    <d v="1899-12-30T21:00:00"/>
    <m/>
    <m/>
    <d v="1899-12-30T03:35:00"/>
    <n v="43.000000000000007"/>
  </r>
  <r>
    <x v="105"/>
    <s v="Quinta-feira"/>
    <d v="1899-12-30T17:20:00"/>
    <d v="1899-12-30T21:00:00"/>
    <m/>
    <m/>
    <d v="1899-12-30T03:40:00"/>
    <n v="44"/>
  </r>
  <r>
    <x v="106"/>
    <s v="Sexta-feira"/>
    <d v="1899-12-30T17:35:00"/>
    <d v="1899-12-30T21:15:00"/>
    <m/>
    <m/>
    <d v="1899-12-30T03:40:00"/>
    <n v="44"/>
  </r>
  <r>
    <x v="107"/>
    <s v="Sábado"/>
    <d v="1899-12-30T08:50:00"/>
    <d v="1899-12-30T12:00:00"/>
    <d v="1899-12-30T13:40:00"/>
    <d v="1899-12-30T21:00:00"/>
    <d v="1899-12-30T10:30:00"/>
    <n v="126"/>
  </r>
  <r>
    <x v="108"/>
    <s v="Domingo"/>
    <m/>
    <m/>
    <m/>
    <m/>
    <d v="1899-12-30T00:00:00"/>
    <n v="0"/>
  </r>
  <r>
    <x v="109"/>
    <s v="Segunda-feira"/>
    <m/>
    <m/>
    <m/>
    <m/>
    <d v="1899-12-30T00:00:00"/>
    <n v="0"/>
  </r>
  <r>
    <x v="110"/>
    <s v="Terça-feira"/>
    <m/>
    <m/>
    <m/>
    <m/>
    <d v="1899-12-30T00:00:00"/>
    <n v="0"/>
  </r>
  <r>
    <x v="111"/>
    <s v="Quarta-feira"/>
    <d v="1899-12-30T17:25:00"/>
    <d v="1899-12-30T21:45:00"/>
    <m/>
    <m/>
    <d v="1899-12-30T04:20:00"/>
    <n v="52.000000000000007"/>
  </r>
  <r>
    <x v="112"/>
    <s v="Quinta-feira"/>
    <d v="1899-12-30T17:30:00"/>
    <d v="1899-12-30T21:12:00"/>
    <m/>
    <m/>
    <d v="1899-12-30T03:42:00"/>
    <n v="44.400000000000006"/>
  </r>
  <r>
    <x v="113"/>
    <s v="Sexta-feira"/>
    <d v="1899-12-30T17:35:00"/>
    <d v="1899-12-30T22:10:00"/>
    <m/>
    <m/>
    <d v="1899-12-30T04:35:00"/>
    <n v="55.000000000000028"/>
  </r>
  <r>
    <x v="114"/>
    <s v="Sábado"/>
    <d v="1899-12-30T08:50:00"/>
    <d v="1899-12-30T12:00:00"/>
    <d v="1899-12-30T13:40:00"/>
    <d v="1899-12-30T21:00:00"/>
    <d v="1899-12-30T10:30:00"/>
    <n v="126"/>
  </r>
  <r>
    <x v="115"/>
    <s v="Domingo"/>
    <m/>
    <m/>
    <m/>
    <m/>
    <d v="1899-12-30T00:00:00"/>
    <n v="0"/>
  </r>
  <r>
    <x v="116"/>
    <s v="Segunda-feira"/>
    <m/>
    <m/>
    <m/>
    <m/>
    <d v="1899-12-30T00:00:00"/>
    <n v="0"/>
  </r>
  <r>
    <x v="117"/>
    <s v="Terça-feira"/>
    <d v="1899-12-30T16:50:00"/>
    <d v="1899-12-30T22:14:00"/>
    <m/>
    <m/>
    <d v="1899-12-30T05:24:00"/>
    <n v="64.800000000000026"/>
  </r>
  <r>
    <x v="118"/>
    <s v="Quarta-feira"/>
    <d v="1899-12-30T16:55:00"/>
    <d v="1899-12-30T21:00:00"/>
    <m/>
    <m/>
    <d v="1899-12-30T04:05:00"/>
    <n v="48.999999999999986"/>
  </r>
  <r>
    <x v="119"/>
    <s v="Quinta-feira"/>
    <d v="1899-12-30T17:30:00"/>
    <d v="1899-12-30T21:47:00"/>
    <m/>
    <m/>
    <d v="1899-12-30T04:17:00"/>
    <n v="51.400000000000006"/>
  </r>
  <r>
    <x v="120"/>
    <s v="Sexta-feira"/>
    <m/>
    <m/>
    <m/>
    <m/>
    <d v="1899-12-30T00:00:00"/>
    <n v="0"/>
  </r>
  <r>
    <x v="121"/>
    <s v="Sábado"/>
    <d v="1899-12-30T08:45:00"/>
    <d v="1899-12-30T14:40:00"/>
    <d v="1899-12-30T15:30:00"/>
    <d v="1899-12-30T17:37:00"/>
    <d v="1899-12-30T08:02:00"/>
    <n v="96.4"/>
  </r>
  <r>
    <x v="122"/>
    <s v="Domingo"/>
    <m/>
    <m/>
    <m/>
    <m/>
    <d v="1899-12-30T00:00:00"/>
    <n v="0"/>
  </r>
  <r>
    <x v="123"/>
    <s v="Segunda-feira"/>
    <m/>
    <m/>
    <m/>
    <m/>
    <d v="1899-12-30T00:00:00"/>
    <n v="0"/>
  </r>
  <r>
    <x v="124"/>
    <s v="Terça-feira"/>
    <d v="1899-12-30T17:50:00"/>
    <d v="1899-12-30T21:05:00"/>
    <m/>
    <m/>
    <d v="1899-12-30T03:15:00"/>
    <n v="38.999999999999986"/>
  </r>
  <r>
    <x v="125"/>
    <s v="Quarta-feira"/>
    <d v="1899-12-30T17:55:00"/>
    <d v="1899-12-30T21:00:00"/>
    <m/>
    <m/>
    <d v="1899-12-30T03:05:00"/>
    <n v="37"/>
  </r>
  <r>
    <x v="126"/>
    <s v="Quinta-feira"/>
    <d v="1899-12-30T17:45:00"/>
    <d v="1899-12-30T21:00:00"/>
    <m/>
    <m/>
    <d v="1899-12-30T03:15:00"/>
    <n v="38.999999999999986"/>
  </r>
  <r>
    <x v="127"/>
    <s v="Sexta-feira"/>
    <m/>
    <m/>
    <m/>
    <m/>
    <d v="1899-12-30T00:00:00"/>
    <n v="0"/>
  </r>
  <r>
    <x v="128"/>
    <s v="Sábado"/>
    <m/>
    <m/>
    <m/>
    <m/>
    <d v="1899-12-30T00:00:00"/>
    <n v="0"/>
  </r>
  <r>
    <x v="129"/>
    <s v="Domingo"/>
    <m/>
    <m/>
    <m/>
    <m/>
    <d v="1899-12-30T00:00:00"/>
    <n v="0"/>
  </r>
  <r>
    <x v="130"/>
    <s v="Segunda-feira"/>
    <m/>
    <m/>
    <m/>
    <m/>
    <d v="1899-12-30T00:00:00"/>
    <n v="0"/>
  </r>
  <r>
    <x v="131"/>
    <s v="Terça-feira"/>
    <d v="1899-12-30T17:25:00"/>
    <d v="1899-12-30T23:00:00"/>
    <m/>
    <m/>
    <d v="1899-12-30T05:35:00"/>
    <n v="67.000000000000014"/>
  </r>
  <r>
    <x v="132"/>
    <s v="Quarta-feira"/>
    <d v="1899-12-30T17:25:00"/>
    <d v="1899-12-30T21:10:00"/>
    <m/>
    <m/>
    <d v="1899-12-30T03:45:00"/>
    <n v="45"/>
  </r>
  <r>
    <x v="133"/>
    <s v="Quinta-feira"/>
    <d v="1899-12-30T17:30:00"/>
    <d v="1899-12-30T21:00:00"/>
    <m/>
    <m/>
    <d v="1899-12-30T03:30:00"/>
    <n v="42.000000000000014"/>
  </r>
  <r>
    <x v="134"/>
    <s v="Sexta-feira"/>
    <d v="1899-12-30T17:20:00"/>
    <d v="1899-12-30T21:10:00"/>
    <m/>
    <m/>
    <d v="1899-12-30T03:50:00"/>
    <n v="46"/>
  </r>
  <r>
    <x v="135"/>
    <s v="Sábado"/>
    <d v="1899-12-30T13:45:00"/>
    <d v="1899-12-30T21:15:00"/>
    <m/>
    <m/>
    <d v="1899-12-30T07:30:00"/>
    <n v="90"/>
  </r>
  <r>
    <x v="136"/>
    <s v="Domingo"/>
    <m/>
    <m/>
    <m/>
    <m/>
    <d v="1899-12-30T00:00:00"/>
    <n v="0"/>
  </r>
  <r>
    <x v="137"/>
    <s v="Segunda-feira"/>
    <m/>
    <m/>
    <m/>
    <m/>
    <d v="1899-12-30T00:00:00"/>
    <n v="0"/>
  </r>
  <r>
    <x v="138"/>
    <s v="Terça-feira"/>
    <d v="1899-12-30T17:40:00"/>
    <d v="1899-12-30T21:00:00"/>
    <m/>
    <m/>
    <d v="1899-12-30T03:20:00"/>
    <n v="39.999999999999986"/>
  </r>
  <r>
    <x v="139"/>
    <s v="Quarta-feira"/>
    <d v="1899-12-30T17:05:00"/>
    <d v="1899-12-30T22:00:00"/>
    <m/>
    <m/>
    <d v="1899-12-30T04:55:00"/>
    <n v="58.999999999999986"/>
  </r>
  <r>
    <x v="140"/>
    <s v="Quinta-feira"/>
    <d v="1899-12-30T17:10:00"/>
    <d v="1899-12-30T21:00:00"/>
    <m/>
    <m/>
    <d v="1899-12-30T03:50:00"/>
    <n v="46"/>
  </r>
  <r>
    <x v="141"/>
    <s v="Sexta-feira"/>
    <d v="1899-12-30T17:10:00"/>
    <d v="1899-12-30T21:40:00"/>
    <m/>
    <m/>
    <d v="1899-12-30T04:30:00"/>
    <n v="54"/>
  </r>
  <r>
    <x v="142"/>
    <s v="Sábado"/>
    <d v="1899-12-30T08:38:00"/>
    <d v="1899-12-30T12:10:00"/>
    <d v="1899-12-30T13:40:00"/>
    <d v="1899-12-30T21:00:00"/>
    <d v="1899-12-30T10:52:00"/>
    <n v="130.4"/>
  </r>
  <r>
    <x v="143"/>
    <s v="Domingo"/>
    <m/>
    <m/>
    <m/>
    <m/>
    <d v="1899-12-30T00:00:00"/>
    <n v="0"/>
  </r>
  <r>
    <x v="144"/>
    <s v="Segunda-feira"/>
    <m/>
    <m/>
    <m/>
    <m/>
    <d v="1899-12-30T00:00:00"/>
    <n v="0"/>
  </r>
  <r>
    <x v="145"/>
    <s v="Terça-feira"/>
    <d v="1899-12-30T17:05:00"/>
    <d v="1899-12-30T22:00:00"/>
    <m/>
    <m/>
    <d v="1899-12-30T04:55:00"/>
    <n v="58.999999999999986"/>
  </r>
  <r>
    <x v="146"/>
    <s v="Quarta-feira"/>
    <d v="1899-12-30T17:10:00"/>
    <d v="1899-12-30T21:00:00"/>
    <m/>
    <m/>
    <d v="1899-12-30T03:50:00"/>
    <n v="46"/>
  </r>
  <r>
    <x v="147"/>
    <s v="Quinta-feira"/>
    <d v="1899-12-30T17:20:00"/>
    <d v="1899-12-30T21:00:00"/>
    <m/>
    <m/>
    <d v="1899-12-30T03:40:00"/>
    <n v="44"/>
  </r>
  <r>
    <x v="148"/>
    <s v="Sexta-feira"/>
    <d v="1899-12-30T17:10:00"/>
    <d v="1899-12-30T21:10:00"/>
    <m/>
    <m/>
    <d v="1899-12-30T04:00:00"/>
    <n v="47.999999999999986"/>
  </r>
  <r>
    <x v="149"/>
    <s v="Sábado"/>
    <d v="1899-12-30T08:45:00"/>
    <d v="1899-12-30T12:00:00"/>
    <d v="1899-12-30T13:38:00"/>
    <d v="1899-12-30T21:00:00"/>
    <d v="1899-12-30T10:37:00"/>
    <n v="127.4"/>
  </r>
  <r>
    <x v="150"/>
    <s v="Domingo"/>
    <m/>
    <m/>
    <m/>
    <m/>
    <d v="1899-12-30T00:00:00"/>
    <n v="0"/>
  </r>
  <r>
    <x v="151"/>
    <s v="Segunda-feira"/>
    <m/>
    <m/>
    <m/>
    <m/>
    <d v="1899-12-30T00:00:00"/>
    <n v="0"/>
  </r>
  <r>
    <x v="152"/>
    <s v="Terça-feira"/>
    <m/>
    <m/>
    <m/>
    <m/>
    <d v="1899-12-30T00:00:00"/>
    <n v="0"/>
  </r>
  <r>
    <x v="153"/>
    <s v="Quarta-feira"/>
    <m/>
    <m/>
    <m/>
    <m/>
    <d v="1899-12-30T00:00:00"/>
    <n v="0"/>
  </r>
  <r>
    <x v="154"/>
    <s v="Quinta-feira"/>
    <m/>
    <m/>
    <m/>
    <m/>
    <d v="1899-12-30T00:00:00"/>
    <n v="0"/>
  </r>
  <r>
    <x v="155"/>
    <s v="Sexta-feira"/>
    <m/>
    <m/>
    <m/>
    <m/>
    <d v="1899-12-30T00:00:00"/>
    <n v="0"/>
  </r>
  <r>
    <x v="156"/>
    <s v="Sábado"/>
    <m/>
    <m/>
    <m/>
    <m/>
    <d v="1899-12-30T00:00:00"/>
    <n v="0"/>
  </r>
  <r>
    <x v="157"/>
    <s v="Domingo"/>
    <m/>
    <m/>
    <m/>
    <m/>
    <d v="1899-12-30T00:00:00"/>
    <n v="0"/>
  </r>
  <r>
    <x v="158"/>
    <s v="Segunda-feira"/>
    <m/>
    <m/>
    <m/>
    <m/>
    <d v="1899-12-30T00:00:00"/>
    <n v="0"/>
  </r>
  <r>
    <x v="159"/>
    <s v="Terça-feira"/>
    <m/>
    <m/>
    <m/>
    <m/>
    <d v="1899-12-30T00:00:00"/>
    <n v="0"/>
  </r>
  <r>
    <x v="160"/>
    <s v="Quarta-feira"/>
    <m/>
    <m/>
    <m/>
    <m/>
    <d v="1899-12-30T00:00:00"/>
    <n v="0"/>
  </r>
  <r>
    <x v="161"/>
    <s v="Quinta-feira"/>
    <m/>
    <m/>
    <m/>
    <m/>
    <d v="1899-12-30T00:00:00"/>
    <n v="0"/>
  </r>
  <r>
    <x v="162"/>
    <s v="Sexta-feira"/>
    <m/>
    <m/>
    <m/>
    <m/>
    <d v="1899-12-30T00:00:00"/>
    <n v="0"/>
  </r>
  <r>
    <x v="163"/>
    <s v="Sábado"/>
    <m/>
    <m/>
    <m/>
    <m/>
    <d v="1899-12-30T00:00:00"/>
    <n v="0"/>
  </r>
  <r>
    <x v="164"/>
    <s v="Domingo"/>
    <m/>
    <m/>
    <m/>
    <m/>
    <d v="1899-12-30T00:00:00"/>
    <n v="0"/>
  </r>
  <r>
    <x v="165"/>
    <s v="Segunda-feira"/>
    <m/>
    <m/>
    <m/>
    <m/>
    <d v="1899-12-30T00:00:00"/>
    <n v="0"/>
  </r>
  <r>
    <x v="166"/>
    <s v="Terça-feira"/>
    <m/>
    <m/>
    <m/>
    <m/>
    <d v="1899-12-30T00:00:00"/>
    <n v="0"/>
  </r>
  <r>
    <x v="167"/>
    <s v="Quarta-feira"/>
    <m/>
    <m/>
    <m/>
    <m/>
    <d v="1899-12-30T00:00:00"/>
    <n v="0"/>
  </r>
  <r>
    <x v="168"/>
    <s v="Quinta-feira"/>
    <m/>
    <m/>
    <m/>
    <m/>
    <d v="1899-12-30T00:00:00"/>
    <n v="0"/>
  </r>
  <r>
    <x v="169"/>
    <s v="Sexta-feira"/>
    <m/>
    <m/>
    <m/>
    <m/>
    <d v="1899-12-30T00:00:00"/>
    <n v="0"/>
  </r>
  <r>
    <x v="170"/>
    <s v="Sábado"/>
    <m/>
    <m/>
    <m/>
    <m/>
    <d v="1899-12-30T00:00:00"/>
    <n v="0"/>
  </r>
  <r>
    <x v="171"/>
    <s v="Domingo"/>
    <m/>
    <m/>
    <m/>
    <m/>
    <d v="1899-12-30T00:00:00"/>
    <n v="0"/>
  </r>
  <r>
    <x v="172"/>
    <s v="Segunda-feira"/>
    <m/>
    <m/>
    <m/>
    <m/>
    <d v="1899-12-30T00:00:00"/>
    <n v="0"/>
  </r>
  <r>
    <x v="173"/>
    <s v="Terça-feira"/>
    <m/>
    <m/>
    <m/>
    <m/>
    <d v="1899-12-30T00:00:00"/>
    <n v="0"/>
  </r>
  <r>
    <x v="174"/>
    <s v="Quarta-feira"/>
    <m/>
    <m/>
    <m/>
    <m/>
    <d v="1899-12-30T00:00:00"/>
    <n v="0"/>
  </r>
  <r>
    <x v="175"/>
    <s v="Quinta-feira"/>
    <m/>
    <m/>
    <m/>
    <m/>
    <d v="1899-12-30T00:00:00"/>
    <n v="0"/>
  </r>
  <r>
    <x v="176"/>
    <s v="Sexta-feira"/>
    <m/>
    <m/>
    <m/>
    <m/>
    <d v="1899-12-30T00:00:00"/>
    <n v="0"/>
  </r>
  <r>
    <x v="177"/>
    <s v="Sábado"/>
    <m/>
    <m/>
    <m/>
    <m/>
    <d v="1899-12-30T00:00:00"/>
    <n v="0"/>
  </r>
  <r>
    <x v="178"/>
    <s v="Domingo"/>
    <m/>
    <m/>
    <m/>
    <m/>
    <d v="1899-12-30T00:00:00"/>
    <n v="0"/>
  </r>
  <r>
    <x v="179"/>
    <s v="Segunda-feira"/>
    <m/>
    <m/>
    <m/>
    <m/>
    <d v="1899-12-30T00:00:00"/>
    <n v="0"/>
  </r>
  <r>
    <x v="180"/>
    <s v="Terça-feira"/>
    <m/>
    <m/>
    <m/>
    <m/>
    <d v="1899-12-30T00:00:00"/>
    <n v="0"/>
  </r>
  <r>
    <x v="181"/>
    <s v="Quarta-feira"/>
    <m/>
    <m/>
    <m/>
    <m/>
    <d v="1899-12-30T00:00:00"/>
    <n v="0"/>
  </r>
  <r>
    <x v="182"/>
    <s v="Quinta-feira"/>
    <m/>
    <m/>
    <m/>
    <m/>
    <d v="1899-12-30T00:00:00"/>
    <n v="0"/>
  </r>
  <r>
    <x v="183"/>
    <s v="Sexta-feira"/>
    <m/>
    <m/>
    <m/>
    <m/>
    <d v="1899-12-30T00:00:00"/>
    <n v="0"/>
  </r>
  <r>
    <x v="184"/>
    <s v="Sábado"/>
    <m/>
    <m/>
    <m/>
    <m/>
    <d v="1899-12-30T00:00:00"/>
    <n v="0"/>
  </r>
  <r>
    <x v="185"/>
    <s v="Domingo"/>
    <m/>
    <m/>
    <m/>
    <m/>
    <d v="1899-12-30T00:00:00"/>
    <n v="0"/>
  </r>
  <r>
    <x v="186"/>
    <s v="Segunda-feira"/>
    <m/>
    <m/>
    <m/>
    <m/>
    <d v="1899-12-30T00:00:00"/>
    <n v="0"/>
  </r>
  <r>
    <x v="187"/>
    <s v="Terça-feira"/>
    <m/>
    <m/>
    <m/>
    <m/>
    <d v="1899-12-30T00:00:00"/>
    <n v="0"/>
  </r>
  <r>
    <x v="188"/>
    <s v="Quarta-feira"/>
    <m/>
    <m/>
    <m/>
    <m/>
    <d v="1899-12-30T00:00:00"/>
    <n v="0"/>
  </r>
  <r>
    <x v="189"/>
    <s v="Quinta-feira"/>
    <m/>
    <m/>
    <m/>
    <m/>
    <d v="1899-12-30T00:00:00"/>
    <n v="0"/>
  </r>
  <r>
    <x v="190"/>
    <s v="Sexta-feira"/>
    <m/>
    <m/>
    <m/>
    <m/>
    <d v="1899-12-30T00:00:00"/>
    <n v="0"/>
  </r>
  <r>
    <x v="191"/>
    <s v="Sábado"/>
    <m/>
    <m/>
    <m/>
    <m/>
    <d v="1899-12-30T00:00:00"/>
    <n v="0"/>
  </r>
  <r>
    <x v="192"/>
    <s v="Domingo"/>
    <m/>
    <m/>
    <m/>
    <m/>
    <d v="1899-12-30T00:00:00"/>
    <n v="0"/>
  </r>
  <r>
    <x v="193"/>
    <s v="Segunda-feira"/>
    <m/>
    <m/>
    <m/>
    <m/>
    <d v="1899-12-30T00:00:00"/>
    <n v="0"/>
  </r>
  <r>
    <x v="194"/>
    <s v="Terça-feira"/>
    <m/>
    <m/>
    <m/>
    <m/>
    <d v="1899-12-30T00:00:00"/>
    <n v="0"/>
  </r>
  <r>
    <x v="195"/>
    <s v="Quarta-feira"/>
    <m/>
    <m/>
    <m/>
    <m/>
    <d v="1899-12-30T00:00:00"/>
    <n v="0"/>
  </r>
  <r>
    <x v="196"/>
    <s v="Quinta-feira"/>
    <m/>
    <m/>
    <m/>
    <m/>
    <d v="1899-12-30T00:00:00"/>
    <n v="0"/>
  </r>
  <r>
    <x v="197"/>
    <s v="Sexta-feira"/>
    <m/>
    <m/>
    <m/>
    <m/>
    <d v="1899-12-30T00:00:00"/>
    <n v="0"/>
  </r>
  <r>
    <x v="198"/>
    <s v="Sábado"/>
    <m/>
    <m/>
    <m/>
    <m/>
    <d v="1899-12-30T00:00:00"/>
    <n v="0"/>
  </r>
  <r>
    <x v="199"/>
    <s v="Domingo"/>
    <m/>
    <m/>
    <m/>
    <m/>
    <d v="1899-12-30T00:00:00"/>
    <n v="0"/>
  </r>
  <r>
    <x v="200"/>
    <s v="Segunda-feira"/>
    <m/>
    <m/>
    <m/>
    <m/>
    <d v="1899-12-30T00:00:00"/>
    <n v="0"/>
  </r>
  <r>
    <x v="201"/>
    <s v="Terça-feira"/>
    <m/>
    <m/>
    <m/>
    <m/>
    <d v="1899-12-30T00:00:00"/>
    <n v="0"/>
  </r>
  <r>
    <x v="202"/>
    <s v="Quarta-feira"/>
    <m/>
    <m/>
    <m/>
    <m/>
    <d v="1899-12-30T00:00:00"/>
    <n v="0"/>
  </r>
  <r>
    <x v="203"/>
    <s v="Quinta-feira"/>
    <m/>
    <m/>
    <m/>
    <m/>
    <d v="1899-12-30T00:00:00"/>
    <n v="0"/>
  </r>
  <r>
    <x v="204"/>
    <s v="Sexta-feira"/>
    <m/>
    <m/>
    <m/>
    <m/>
    <d v="1899-12-30T00:00:00"/>
    <n v="0"/>
  </r>
  <r>
    <x v="205"/>
    <s v="Sábado"/>
    <m/>
    <m/>
    <m/>
    <m/>
    <d v="1899-12-30T00:00:00"/>
    <n v="0"/>
  </r>
  <r>
    <x v="206"/>
    <s v="Domingo"/>
    <m/>
    <m/>
    <m/>
    <m/>
    <d v="1899-12-30T00:00:00"/>
    <n v="0"/>
  </r>
  <r>
    <x v="207"/>
    <s v="Segunda-feira"/>
    <m/>
    <m/>
    <m/>
    <m/>
    <d v="1899-12-30T00:00:00"/>
    <n v="0"/>
  </r>
  <r>
    <x v="208"/>
    <s v="Terça-feira"/>
    <m/>
    <m/>
    <m/>
    <m/>
    <d v="1899-12-30T00:00:00"/>
    <n v="0"/>
  </r>
  <r>
    <x v="209"/>
    <s v="Quarta-feira"/>
    <m/>
    <m/>
    <m/>
    <m/>
    <d v="1899-12-30T00:00:00"/>
    <n v="0"/>
  </r>
  <r>
    <x v="210"/>
    <s v="Quinta-feira"/>
    <m/>
    <m/>
    <m/>
    <m/>
    <d v="1899-12-30T00:00:00"/>
    <n v="0"/>
  </r>
  <r>
    <x v="211"/>
    <s v="Sexta-feira"/>
    <m/>
    <m/>
    <m/>
    <m/>
    <d v="1899-12-30T00:00:00"/>
    <n v="0"/>
  </r>
  <r>
    <x v="212"/>
    <s v="Sábado"/>
    <m/>
    <m/>
    <m/>
    <m/>
    <d v="1899-12-30T00:00:00"/>
    <n v="0"/>
  </r>
  <r>
    <x v="213"/>
    <s v="Domingo"/>
    <m/>
    <m/>
    <m/>
    <m/>
    <d v="1899-12-30T00:00:00"/>
    <n v="0"/>
  </r>
  <r>
    <x v="214"/>
    <s v="Segunda-feira"/>
    <m/>
    <m/>
    <m/>
    <m/>
    <d v="1899-12-30T00:00:00"/>
    <n v="0"/>
  </r>
  <r>
    <x v="215"/>
    <s v="Terça-feira"/>
    <m/>
    <m/>
    <m/>
    <m/>
    <d v="1899-12-30T00:00:00"/>
    <n v="0"/>
  </r>
  <r>
    <x v="216"/>
    <s v="Quarta-feira"/>
    <m/>
    <m/>
    <m/>
    <m/>
    <d v="1899-12-30T00:00:00"/>
    <n v="0"/>
  </r>
  <r>
    <x v="217"/>
    <s v="Quinta-feira"/>
    <m/>
    <m/>
    <m/>
    <m/>
    <d v="1899-12-30T00:00:00"/>
    <n v="0"/>
  </r>
  <r>
    <x v="218"/>
    <s v="Sexta-feira"/>
    <m/>
    <m/>
    <m/>
    <m/>
    <d v="1899-12-30T00:00:00"/>
    <n v="0"/>
  </r>
  <r>
    <x v="219"/>
    <s v="Sábado"/>
    <m/>
    <m/>
    <m/>
    <m/>
    <d v="1899-12-30T00:00:00"/>
    <n v="0"/>
  </r>
  <r>
    <x v="220"/>
    <s v="Domingo"/>
    <m/>
    <m/>
    <m/>
    <m/>
    <d v="1899-12-30T00:00:00"/>
    <n v="0"/>
  </r>
  <r>
    <x v="221"/>
    <s v="Segunda-feira"/>
    <m/>
    <m/>
    <m/>
    <m/>
    <d v="1899-12-30T00:00:00"/>
    <n v="0"/>
  </r>
  <r>
    <x v="222"/>
    <s v="Terça-feira"/>
    <m/>
    <m/>
    <m/>
    <m/>
    <d v="1899-12-30T00:00:00"/>
    <n v="0"/>
  </r>
  <r>
    <x v="223"/>
    <s v="Quarta-feira"/>
    <m/>
    <m/>
    <m/>
    <m/>
    <d v="1899-12-30T00:00:00"/>
    <n v="0"/>
  </r>
  <r>
    <x v="224"/>
    <s v="Quinta-feira"/>
    <m/>
    <m/>
    <m/>
    <m/>
    <d v="1899-12-30T00:00:00"/>
    <n v="0"/>
  </r>
  <r>
    <x v="225"/>
    <s v="Sexta-feira"/>
    <m/>
    <m/>
    <m/>
    <m/>
    <d v="1899-12-30T00:00:00"/>
    <n v="0"/>
  </r>
  <r>
    <x v="226"/>
    <s v="Sábado"/>
    <m/>
    <m/>
    <m/>
    <m/>
    <d v="1899-12-30T00:00:00"/>
    <n v="0"/>
  </r>
  <r>
    <x v="227"/>
    <s v="Domingo"/>
    <m/>
    <m/>
    <m/>
    <m/>
    <d v="1899-12-30T00:00:00"/>
    <n v="0"/>
  </r>
  <r>
    <x v="228"/>
    <s v="Segunda-feira"/>
    <m/>
    <m/>
    <m/>
    <m/>
    <d v="1899-12-30T00:00:00"/>
    <n v="0"/>
  </r>
  <r>
    <x v="229"/>
    <s v="Terça-feira"/>
    <m/>
    <m/>
    <m/>
    <m/>
    <d v="1899-12-30T00:00:00"/>
    <n v="0"/>
  </r>
  <r>
    <x v="230"/>
    <s v="Quarta-feira"/>
    <m/>
    <m/>
    <m/>
    <m/>
    <d v="1899-12-30T00:00:00"/>
    <n v="0"/>
  </r>
  <r>
    <x v="231"/>
    <s v="Quinta-feira"/>
    <m/>
    <m/>
    <m/>
    <m/>
    <d v="1899-12-30T00:00:00"/>
    <n v="0"/>
  </r>
  <r>
    <x v="232"/>
    <s v="Sexta-feira"/>
    <m/>
    <m/>
    <m/>
    <m/>
    <d v="1899-12-30T00:00:00"/>
    <n v="0"/>
  </r>
  <r>
    <x v="233"/>
    <s v="Sábado"/>
    <m/>
    <m/>
    <m/>
    <m/>
    <d v="1899-12-30T00:00:00"/>
    <n v="0"/>
  </r>
  <r>
    <x v="234"/>
    <s v="Domingo"/>
    <m/>
    <m/>
    <m/>
    <m/>
    <d v="1899-12-30T00:00:00"/>
    <n v="0"/>
  </r>
  <r>
    <x v="235"/>
    <s v="Segunda-feira"/>
    <m/>
    <m/>
    <m/>
    <m/>
    <d v="1899-12-30T00:00:00"/>
    <n v="0"/>
  </r>
  <r>
    <x v="236"/>
    <s v="Terça-feira"/>
    <m/>
    <m/>
    <m/>
    <m/>
    <d v="1899-12-30T00:00:00"/>
    <n v="0"/>
  </r>
  <r>
    <x v="237"/>
    <s v="Quarta-feira"/>
    <m/>
    <m/>
    <m/>
    <m/>
    <d v="1899-12-30T00:00:00"/>
    <n v="0"/>
  </r>
  <r>
    <x v="238"/>
    <s v="Quinta-feira"/>
    <m/>
    <m/>
    <m/>
    <m/>
    <d v="1899-12-30T00:00:00"/>
    <n v="0"/>
  </r>
  <r>
    <x v="239"/>
    <s v="Sexta-feira"/>
    <m/>
    <m/>
    <m/>
    <m/>
    <d v="1899-12-30T00:00:00"/>
    <n v="0"/>
  </r>
  <r>
    <x v="240"/>
    <s v="Sábado"/>
    <m/>
    <m/>
    <m/>
    <m/>
    <d v="1899-12-30T00:00:00"/>
    <n v="0"/>
  </r>
  <r>
    <x v="241"/>
    <s v="Domingo"/>
    <m/>
    <m/>
    <m/>
    <m/>
    <d v="1899-12-30T00:00:00"/>
    <n v="0"/>
  </r>
  <r>
    <x v="242"/>
    <s v="Segunda-feira"/>
    <m/>
    <m/>
    <m/>
    <m/>
    <d v="1899-12-30T00:00:00"/>
    <n v="0"/>
  </r>
  <r>
    <x v="243"/>
    <s v="Terça-feira"/>
    <m/>
    <m/>
    <m/>
    <m/>
    <d v="1899-12-30T00:00:00"/>
    <n v="0"/>
  </r>
  <r>
    <x v="244"/>
    <s v="Quarta-feira"/>
    <m/>
    <m/>
    <m/>
    <m/>
    <d v="1899-12-30T00:00:00"/>
    <n v="0"/>
  </r>
  <r>
    <x v="245"/>
    <s v="Quinta-feira"/>
    <m/>
    <m/>
    <m/>
    <m/>
    <d v="1899-12-30T00:00:00"/>
    <n v="0"/>
  </r>
  <r>
    <x v="246"/>
    <s v="Sexta-feira"/>
    <m/>
    <m/>
    <m/>
    <m/>
    <d v="1899-12-30T00:00:00"/>
    <n v="0"/>
  </r>
  <r>
    <x v="247"/>
    <s v="Sábado"/>
    <m/>
    <m/>
    <m/>
    <m/>
    <d v="1899-12-30T00:00:00"/>
    <n v="0"/>
  </r>
  <r>
    <x v="248"/>
    <s v="Domingo"/>
    <m/>
    <m/>
    <m/>
    <m/>
    <d v="1899-12-30T00:00:00"/>
    <n v="0"/>
  </r>
  <r>
    <x v="249"/>
    <s v="Segunda-feira"/>
    <m/>
    <m/>
    <m/>
    <m/>
    <d v="1899-12-30T00:00:00"/>
    <n v="0"/>
  </r>
  <r>
    <x v="250"/>
    <s v="Terça-feira"/>
    <m/>
    <m/>
    <m/>
    <m/>
    <d v="1899-12-30T00:00:00"/>
    <n v="0"/>
  </r>
  <r>
    <x v="251"/>
    <s v="Quarta-feira"/>
    <m/>
    <m/>
    <m/>
    <m/>
    <d v="1899-12-30T00:00:00"/>
    <n v="0"/>
  </r>
  <r>
    <x v="252"/>
    <s v="Quinta-feira"/>
    <m/>
    <m/>
    <m/>
    <m/>
    <d v="1899-12-30T00:00:00"/>
    <n v="0"/>
  </r>
  <r>
    <x v="253"/>
    <s v="Sexta-feira"/>
    <m/>
    <m/>
    <m/>
    <m/>
    <d v="1899-12-30T00:00:00"/>
    <n v="0"/>
  </r>
  <r>
    <x v="254"/>
    <s v="Sábado"/>
    <m/>
    <m/>
    <m/>
    <m/>
    <d v="1899-12-30T00:00:00"/>
    <n v="0"/>
  </r>
  <r>
    <x v="255"/>
    <s v="Domingo"/>
    <m/>
    <m/>
    <m/>
    <m/>
    <d v="1899-12-30T00:00:00"/>
    <n v="0"/>
  </r>
  <r>
    <x v="256"/>
    <s v="Segunda-feira"/>
    <m/>
    <m/>
    <m/>
    <m/>
    <d v="1899-12-30T00:00:00"/>
    <n v="0"/>
  </r>
  <r>
    <x v="257"/>
    <s v="Terça-feira"/>
    <m/>
    <m/>
    <m/>
    <m/>
    <d v="1899-12-30T00:00:00"/>
    <n v="0"/>
  </r>
  <r>
    <x v="258"/>
    <s v="Quarta-feira"/>
    <m/>
    <m/>
    <m/>
    <m/>
    <d v="1899-12-30T00:00:00"/>
    <n v="0"/>
  </r>
  <r>
    <x v="259"/>
    <s v="Quinta-feira"/>
    <m/>
    <m/>
    <m/>
    <m/>
    <d v="1899-12-30T00:00:00"/>
    <n v="0"/>
  </r>
  <r>
    <x v="260"/>
    <s v="Sexta-feira"/>
    <m/>
    <m/>
    <m/>
    <m/>
    <d v="1899-12-30T00:00:00"/>
    <n v="0"/>
  </r>
  <r>
    <x v="261"/>
    <s v="Sábado"/>
    <m/>
    <m/>
    <m/>
    <m/>
    <d v="1899-12-30T00:00:00"/>
    <n v="0"/>
  </r>
  <r>
    <x v="262"/>
    <s v="Domingo"/>
    <m/>
    <m/>
    <m/>
    <m/>
    <d v="1899-12-30T00:00:00"/>
    <n v="0"/>
  </r>
  <r>
    <x v="263"/>
    <s v="Segunda-feira"/>
    <m/>
    <m/>
    <m/>
    <m/>
    <d v="1899-12-30T00:00:00"/>
    <n v="0"/>
  </r>
  <r>
    <x v="264"/>
    <s v="Terça-feira"/>
    <m/>
    <m/>
    <m/>
    <m/>
    <d v="1899-12-30T00:00:00"/>
    <n v="0"/>
  </r>
  <r>
    <x v="265"/>
    <s v="Quarta-feira"/>
    <m/>
    <m/>
    <m/>
    <m/>
    <d v="1899-12-30T00:00:00"/>
    <n v="0"/>
  </r>
  <r>
    <x v="266"/>
    <s v="Quinta-feira"/>
    <m/>
    <m/>
    <m/>
    <m/>
    <d v="1899-12-30T00:00:00"/>
    <n v="0"/>
  </r>
  <r>
    <x v="267"/>
    <s v="Sexta-feira"/>
    <m/>
    <m/>
    <m/>
    <m/>
    <d v="1899-12-30T00:00:00"/>
    <n v="0"/>
  </r>
  <r>
    <x v="268"/>
    <s v="Sábado"/>
    <m/>
    <m/>
    <m/>
    <m/>
    <d v="1899-12-30T00:00:00"/>
    <n v="0"/>
  </r>
  <r>
    <x v="269"/>
    <s v="Domingo"/>
    <m/>
    <m/>
    <m/>
    <m/>
    <d v="1899-12-30T00:00:00"/>
    <n v="0"/>
  </r>
  <r>
    <x v="270"/>
    <s v="Segunda-feira"/>
    <m/>
    <m/>
    <m/>
    <m/>
    <d v="1899-12-30T00:00:00"/>
    <n v="0"/>
  </r>
  <r>
    <x v="271"/>
    <s v="Terça-feira"/>
    <m/>
    <m/>
    <m/>
    <m/>
    <d v="1899-12-30T00:00:00"/>
    <n v="0"/>
  </r>
  <r>
    <x v="272"/>
    <s v="Quarta-feira"/>
    <m/>
    <m/>
    <m/>
    <m/>
    <d v="1899-12-30T00:00:00"/>
    <n v="0"/>
  </r>
  <r>
    <x v="273"/>
    <s v="Quinta-feira"/>
    <m/>
    <m/>
    <m/>
    <m/>
    <d v="1899-12-30T00:00:00"/>
    <n v="0"/>
  </r>
  <r>
    <x v="274"/>
    <s v="Sexta-feira"/>
    <m/>
    <m/>
    <m/>
    <m/>
    <d v="1899-12-30T00:00:00"/>
    <n v="0"/>
  </r>
  <r>
    <x v="275"/>
    <s v="Sábado"/>
    <m/>
    <m/>
    <m/>
    <m/>
    <d v="1899-12-30T00:00:00"/>
    <n v="0"/>
  </r>
  <r>
    <x v="276"/>
    <s v="Domingo"/>
    <m/>
    <m/>
    <m/>
    <m/>
    <d v="1899-12-30T00:00:00"/>
    <n v="0"/>
  </r>
  <r>
    <x v="277"/>
    <s v="Segunda-feira"/>
    <m/>
    <m/>
    <m/>
    <m/>
    <d v="1899-12-30T00:00:00"/>
    <n v="0"/>
  </r>
  <r>
    <x v="278"/>
    <s v="Terça-feira"/>
    <m/>
    <m/>
    <m/>
    <m/>
    <d v="1899-12-30T00:00:00"/>
    <n v="0"/>
  </r>
  <r>
    <x v="279"/>
    <s v="Quarta-feira"/>
    <m/>
    <m/>
    <m/>
    <m/>
    <d v="1899-12-30T00:00:00"/>
    <n v="0"/>
  </r>
  <r>
    <x v="280"/>
    <s v="Quinta-feira"/>
    <m/>
    <m/>
    <m/>
    <m/>
    <d v="1899-12-30T00:00:00"/>
    <n v="0"/>
  </r>
  <r>
    <x v="281"/>
    <s v="Sexta-feira"/>
    <m/>
    <m/>
    <m/>
    <m/>
    <d v="1899-12-30T00:00:00"/>
    <n v="0"/>
  </r>
  <r>
    <x v="282"/>
    <s v="Sábado"/>
    <m/>
    <m/>
    <m/>
    <m/>
    <d v="1899-12-30T00:00:00"/>
    <n v="0"/>
  </r>
  <r>
    <x v="283"/>
    <s v="Domingo"/>
    <m/>
    <m/>
    <m/>
    <m/>
    <d v="1899-12-30T00:00:00"/>
    <n v="0"/>
  </r>
  <r>
    <x v="284"/>
    <s v="Segunda-feira"/>
    <m/>
    <m/>
    <m/>
    <m/>
    <d v="1899-12-30T00:00:00"/>
    <n v="0"/>
  </r>
  <r>
    <x v="285"/>
    <s v="Terça-feira"/>
    <m/>
    <m/>
    <m/>
    <m/>
    <d v="1899-12-30T00:00:00"/>
    <n v="0"/>
  </r>
  <r>
    <x v="286"/>
    <s v="Quarta-feira"/>
    <m/>
    <m/>
    <m/>
    <m/>
    <d v="1899-12-30T00:00:00"/>
    <n v="0"/>
  </r>
  <r>
    <x v="287"/>
    <s v="Quinta-feira"/>
    <m/>
    <m/>
    <m/>
    <m/>
    <d v="1899-12-30T00:00:00"/>
    <n v="0"/>
  </r>
  <r>
    <x v="288"/>
    <s v="Sexta-feira"/>
    <m/>
    <m/>
    <m/>
    <m/>
    <d v="1899-12-30T00:00:00"/>
    <n v="0"/>
  </r>
  <r>
    <x v="289"/>
    <s v="Sábado"/>
    <m/>
    <m/>
    <m/>
    <m/>
    <d v="1899-12-30T00:00:00"/>
    <n v="0"/>
  </r>
  <r>
    <x v="290"/>
    <s v="Domingo"/>
    <m/>
    <m/>
    <m/>
    <m/>
    <d v="1899-12-30T00:00:00"/>
    <n v="0"/>
  </r>
  <r>
    <x v="291"/>
    <s v="Segunda-feira"/>
    <m/>
    <m/>
    <m/>
    <m/>
    <d v="1899-12-30T00:00:00"/>
    <n v="0"/>
  </r>
  <r>
    <x v="292"/>
    <s v="Terça-feira"/>
    <m/>
    <m/>
    <m/>
    <m/>
    <d v="1899-12-30T00:00:00"/>
    <n v="0"/>
  </r>
  <r>
    <x v="293"/>
    <s v="Quarta-feira"/>
    <m/>
    <m/>
    <m/>
    <m/>
    <d v="1899-12-30T00:00:00"/>
    <n v="0"/>
  </r>
  <r>
    <x v="294"/>
    <s v="Quinta-feira"/>
    <m/>
    <m/>
    <m/>
    <m/>
    <d v="1899-12-30T00:00:00"/>
    <n v="0"/>
  </r>
  <r>
    <x v="295"/>
    <s v="Sexta-feira"/>
    <m/>
    <m/>
    <m/>
    <m/>
    <d v="1899-12-30T00:00:00"/>
    <n v="0"/>
  </r>
  <r>
    <x v="296"/>
    <s v="Sábado"/>
    <m/>
    <m/>
    <m/>
    <m/>
    <d v="1899-12-30T00:00:00"/>
    <n v="0"/>
  </r>
  <r>
    <x v="297"/>
    <s v="Domingo"/>
    <m/>
    <m/>
    <m/>
    <m/>
    <d v="1899-12-30T00:00:00"/>
    <n v="0"/>
  </r>
  <r>
    <x v="298"/>
    <s v="Segunda-feira"/>
    <m/>
    <m/>
    <m/>
    <m/>
    <d v="1899-12-30T00:00:00"/>
    <n v="0"/>
  </r>
  <r>
    <x v="299"/>
    <s v="Terça-feira"/>
    <m/>
    <m/>
    <m/>
    <m/>
    <d v="1899-12-30T00:00:00"/>
    <n v="0"/>
  </r>
  <r>
    <x v="300"/>
    <s v="Quarta-feira"/>
    <m/>
    <m/>
    <m/>
    <m/>
    <d v="1899-12-30T00:00:00"/>
    <n v="0"/>
  </r>
  <r>
    <x v="301"/>
    <s v="Quinta-feira"/>
    <m/>
    <m/>
    <m/>
    <m/>
    <d v="1899-12-30T00:00:00"/>
    <n v="0"/>
  </r>
  <r>
    <x v="302"/>
    <s v="Sexta-feira"/>
    <m/>
    <m/>
    <m/>
    <m/>
    <d v="1899-12-30T00:00:00"/>
    <n v="0"/>
  </r>
  <r>
    <x v="303"/>
    <s v="Sábado"/>
    <m/>
    <m/>
    <m/>
    <m/>
    <d v="1899-12-30T00:00:00"/>
    <n v="0"/>
  </r>
  <r>
    <x v="304"/>
    <s v="Domingo"/>
    <m/>
    <m/>
    <m/>
    <m/>
    <d v="1899-12-30T00:00:00"/>
    <n v="0"/>
  </r>
  <r>
    <x v="305"/>
    <s v="Segunda-feira"/>
    <m/>
    <m/>
    <m/>
    <m/>
    <d v="1899-12-30T00:00:00"/>
    <n v="0"/>
  </r>
  <r>
    <x v="306"/>
    <s v="Terça-feira"/>
    <m/>
    <m/>
    <m/>
    <m/>
    <d v="1899-12-30T00:00:00"/>
    <n v="0"/>
  </r>
  <r>
    <x v="307"/>
    <s v="Quarta-feira"/>
    <m/>
    <m/>
    <m/>
    <m/>
    <d v="1899-12-30T00:00:00"/>
    <n v="0"/>
  </r>
  <r>
    <x v="308"/>
    <s v="Quinta-feira"/>
    <m/>
    <m/>
    <m/>
    <m/>
    <d v="1899-12-30T00:00:00"/>
    <n v="0"/>
  </r>
  <r>
    <x v="309"/>
    <s v="Sexta-feira"/>
    <m/>
    <m/>
    <m/>
    <m/>
    <d v="1899-12-30T00:00:00"/>
    <n v="0"/>
  </r>
  <r>
    <x v="310"/>
    <s v="Sábado"/>
    <m/>
    <m/>
    <m/>
    <m/>
    <d v="1899-12-30T00:00:00"/>
    <n v="0"/>
  </r>
  <r>
    <x v="311"/>
    <s v="Domingo"/>
    <m/>
    <m/>
    <m/>
    <m/>
    <d v="1899-12-30T00:00:00"/>
    <n v="0"/>
  </r>
  <r>
    <x v="312"/>
    <s v="Segunda-feira"/>
    <m/>
    <m/>
    <m/>
    <m/>
    <d v="1899-12-30T00:00:00"/>
    <n v="0"/>
  </r>
  <r>
    <x v="313"/>
    <s v="Terça-feira"/>
    <m/>
    <m/>
    <m/>
    <m/>
    <d v="1899-12-30T00:00:00"/>
    <n v="0"/>
  </r>
  <r>
    <x v="314"/>
    <s v="Quarta-feira"/>
    <m/>
    <m/>
    <m/>
    <m/>
    <d v="1899-12-30T00:00:00"/>
    <n v="0"/>
  </r>
  <r>
    <x v="315"/>
    <s v="Quinta-feira"/>
    <m/>
    <m/>
    <m/>
    <m/>
    <d v="1899-12-30T00:00:00"/>
    <n v="0"/>
  </r>
  <r>
    <x v="316"/>
    <s v="Sexta-feira"/>
    <m/>
    <m/>
    <m/>
    <m/>
    <d v="1899-12-30T00:00:00"/>
    <n v="0"/>
  </r>
  <r>
    <x v="317"/>
    <s v="Sábado"/>
    <m/>
    <m/>
    <m/>
    <m/>
    <d v="1899-12-30T00:00:00"/>
    <n v="0"/>
  </r>
  <r>
    <x v="318"/>
    <s v="Domingo"/>
    <m/>
    <m/>
    <m/>
    <m/>
    <d v="1899-12-30T00:00:00"/>
    <n v="0"/>
  </r>
  <r>
    <x v="319"/>
    <s v="Segunda-feira"/>
    <m/>
    <m/>
    <m/>
    <m/>
    <d v="1899-12-30T00:00:00"/>
    <n v="0"/>
  </r>
  <r>
    <x v="320"/>
    <s v="Terça-feira"/>
    <m/>
    <m/>
    <m/>
    <m/>
    <d v="1899-12-30T00:00:00"/>
    <n v="0"/>
  </r>
  <r>
    <x v="321"/>
    <s v="Quarta-feira"/>
    <m/>
    <m/>
    <m/>
    <m/>
    <d v="1899-12-30T00:00:00"/>
    <n v="0"/>
  </r>
  <r>
    <x v="322"/>
    <s v="Quinta-feira"/>
    <m/>
    <m/>
    <m/>
    <m/>
    <d v="1899-12-30T00:00:00"/>
    <n v="0"/>
  </r>
  <r>
    <x v="323"/>
    <s v="Sexta-feira"/>
    <m/>
    <m/>
    <m/>
    <m/>
    <d v="1899-12-30T00:00:00"/>
    <n v="0"/>
  </r>
  <r>
    <x v="324"/>
    <s v="Sábado"/>
    <m/>
    <m/>
    <m/>
    <m/>
    <d v="1899-12-30T00:00:00"/>
    <n v="0"/>
  </r>
  <r>
    <x v="325"/>
    <s v="Domingo"/>
    <m/>
    <m/>
    <m/>
    <m/>
    <d v="1899-12-30T00:00:00"/>
    <n v="0"/>
  </r>
  <r>
    <x v="326"/>
    <s v="Segunda-feira"/>
    <m/>
    <m/>
    <m/>
    <m/>
    <d v="1899-12-30T00:00:00"/>
    <n v="0"/>
  </r>
  <r>
    <x v="327"/>
    <s v="Terça-feira"/>
    <m/>
    <m/>
    <m/>
    <m/>
    <d v="1899-12-30T00:00:00"/>
    <n v="0"/>
  </r>
  <r>
    <x v="328"/>
    <s v="Quarta-feira"/>
    <m/>
    <m/>
    <m/>
    <m/>
    <d v="1899-12-30T00:00:00"/>
    <n v="0"/>
  </r>
  <r>
    <x v="329"/>
    <s v="Quinta-feira"/>
    <m/>
    <m/>
    <m/>
    <m/>
    <d v="1899-12-30T00:00:00"/>
    <n v="0"/>
  </r>
  <r>
    <x v="330"/>
    <s v="Sexta-feira"/>
    <m/>
    <m/>
    <m/>
    <m/>
    <d v="1899-12-30T00:00:00"/>
    <n v="0"/>
  </r>
  <r>
    <x v="331"/>
    <s v="Sábado"/>
    <m/>
    <m/>
    <m/>
    <m/>
    <d v="1899-12-30T00:00:00"/>
    <n v="0"/>
  </r>
  <r>
    <x v="332"/>
    <s v="Domingo"/>
    <m/>
    <m/>
    <m/>
    <m/>
    <d v="1899-12-30T00:00:00"/>
    <n v="0"/>
  </r>
  <r>
    <x v="333"/>
    <s v="Segunda-feira"/>
    <m/>
    <m/>
    <m/>
    <m/>
    <d v="1899-12-30T00:00:00"/>
    <n v="0"/>
  </r>
  <r>
    <x v="334"/>
    <s v="Terça-feira"/>
    <m/>
    <m/>
    <m/>
    <m/>
    <d v="1899-12-30T00:00:00"/>
    <n v="0"/>
  </r>
  <r>
    <x v="335"/>
    <s v="Quarta-feira"/>
    <m/>
    <m/>
    <m/>
    <m/>
    <d v="1899-12-30T00:00:00"/>
    <n v="0"/>
  </r>
  <r>
    <x v="336"/>
    <s v="Quinta-feira"/>
    <m/>
    <m/>
    <m/>
    <m/>
    <d v="1899-12-30T00:00:00"/>
    <n v="0"/>
  </r>
  <r>
    <x v="337"/>
    <s v="Sexta-feira"/>
    <m/>
    <m/>
    <m/>
    <m/>
    <d v="1899-12-30T00:00:00"/>
    <n v="0"/>
  </r>
  <r>
    <x v="338"/>
    <s v="Sábado"/>
    <m/>
    <m/>
    <m/>
    <m/>
    <d v="1899-12-30T00:00:00"/>
    <n v="0"/>
  </r>
  <r>
    <x v="339"/>
    <s v="Domingo"/>
    <m/>
    <m/>
    <m/>
    <m/>
    <d v="1899-12-30T00:00:00"/>
    <n v="0"/>
  </r>
  <r>
    <x v="340"/>
    <s v="Segunda-feira"/>
    <m/>
    <m/>
    <m/>
    <m/>
    <d v="1899-12-30T00:00:00"/>
    <n v="0"/>
  </r>
  <r>
    <x v="341"/>
    <s v="Terça-feira"/>
    <m/>
    <m/>
    <m/>
    <m/>
    <d v="1899-12-30T00:00:00"/>
    <n v="0"/>
  </r>
  <r>
    <x v="342"/>
    <s v="Quarta-feira"/>
    <m/>
    <m/>
    <m/>
    <m/>
    <d v="1899-12-30T00:00:00"/>
    <n v="0"/>
  </r>
  <r>
    <x v="343"/>
    <s v="Quinta-feira"/>
    <m/>
    <m/>
    <m/>
    <m/>
    <d v="1899-12-30T00:00:00"/>
    <n v="0"/>
  </r>
  <r>
    <x v="344"/>
    <s v="Sexta-feira"/>
    <m/>
    <m/>
    <m/>
    <m/>
    <d v="1899-12-30T00:00:00"/>
    <n v="0"/>
  </r>
  <r>
    <x v="345"/>
    <s v="Sábado"/>
    <m/>
    <m/>
    <m/>
    <m/>
    <d v="1899-12-30T00:00:00"/>
    <n v="0"/>
  </r>
  <r>
    <x v="346"/>
    <s v="Domingo"/>
    <m/>
    <m/>
    <m/>
    <m/>
    <d v="1899-12-30T00:00:00"/>
    <n v="0"/>
  </r>
  <r>
    <x v="347"/>
    <s v="Segunda-feira"/>
    <m/>
    <m/>
    <m/>
    <m/>
    <d v="1899-12-30T00:00:00"/>
    <n v="0"/>
  </r>
  <r>
    <x v="348"/>
    <s v="Terça-feira"/>
    <m/>
    <m/>
    <m/>
    <m/>
    <d v="1899-12-30T00:00:00"/>
    <n v="0"/>
  </r>
  <r>
    <x v="349"/>
    <s v="Quarta-feira"/>
    <m/>
    <m/>
    <m/>
    <m/>
    <d v="1899-12-30T00:00:00"/>
    <n v="0"/>
  </r>
  <r>
    <x v="350"/>
    <s v="Quinta-feira"/>
    <m/>
    <m/>
    <m/>
    <m/>
    <d v="1899-12-30T00:00:00"/>
    <n v="0"/>
  </r>
  <r>
    <x v="351"/>
    <s v="Sexta-feira"/>
    <m/>
    <m/>
    <m/>
    <m/>
    <d v="1899-12-30T00:00:00"/>
    <n v="0"/>
  </r>
  <r>
    <x v="352"/>
    <s v="Sábado"/>
    <m/>
    <m/>
    <m/>
    <m/>
    <d v="1899-12-30T00:00:00"/>
    <n v="0"/>
  </r>
  <r>
    <x v="353"/>
    <s v="Domingo"/>
    <m/>
    <m/>
    <m/>
    <m/>
    <d v="1899-12-30T00:00:00"/>
    <n v="0"/>
  </r>
  <r>
    <x v="354"/>
    <s v="Segunda-feira"/>
    <m/>
    <m/>
    <m/>
    <m/>
    <d v="1899-12-30T00:00:00"/>
    <n v="0"/>
  </r>
  <r>
    <x v="355"/>
    <s v="Terça-feira"/>
    <m/>
    <m/>
    <m/>
    <m/>
    <d v="1899-12-30T00:00:00"/>
    <n v="0"/>
  </r>
  <r>
    <x v="356"/>
    <s v="Quarta-feira"/>
    <m/>
    <m/>
    <m/>
    <m/>
    <d v="1899-12-30T00:00:00"/>
    <n v="0"/>
  </r>
  <r>
    <x v="357"/>
    <s v="Quinta-feira"/>
    <m/>
    <m/>
    <m/>
    <m/>
    <d v="1899-12-30T00:00:00"/>
    <n v="0"/>
  </r>
  <r>
    <x v="358"/>
    <s v="Sexta-feira"/>
    <m/>
    <m/>
    <m/>
    <m/>
    <d v="1899-12-30T00:00:00"/>
    <n v="0"/>
  </r>
  <r>
    <x v="359"/>
    <s v="Sábado"/>
    <m/>
    <m/>
    <m/>
    <m/>
    <d v="1899-12-30T00:00:00"/>
    <n v="0"/>
  </r>
  <r>
    <x v="360"/>
    <s v="Domingo"/>
    <m/>
    <m/>
    <m/>
    <m/>
    <d v="1899-12-30T00:00:00"/>
    <n v="0"/>
  </r>
  <r>
    <x v="361"/>
    <s v="Segunda-feira"/>
    <m/>
    <m/>
    <m/>
    <m/>
    <d v="1899-12-30T00:00:00"/>
    <n v="0"/>
  </r>
  <r>
    <x v="362"/>
    <s v="Terça-feira"/>
    <m/>
    <m/>
    <m/>
    <m/>
    <d v="1899-12-30T00:00:00"/>
    <n v="0"/>
  </r>
  <r>
    <x v="363"/>
    <s v="Quarta-feira"/>
    <m/>
    <m/>
    <m/>
    <m/>
    <d v="1899-12-30T00:00:00"/>
    <n v="0"/>
  </r>
  <r>
    <x v="364"/>
    <s v="Quinta-feira"/>
    <m/>
    <m/>
    <m/>
    <m/>
    <d v="1899-12-30T00:00: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27E99-1264-48A0-96F6-F7803EB642E8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1" firstHeaderRow="1" firstDataRow="1" firstDataCol="2"/>
  <pivotFields count="10">
    <pivotField axis="axisRow" compact="0" numFmtId="15" outline="0" showAll="0" defaultSubtotal="0">
      <items count="365">
        <item h="1" x="0"/>
        <item h="1" x="1"/>
        <item h="1" x="2"/>
        <item h="1" x="3"/>
        <item h="1" sd="0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x="144"/>
        <item x="145"/>
        <item x="146"/>
        <item x="147"/>
        <item x="148"/>
        <item x="149"/>
        <item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</items>
    </pivotField>
    <pivotField axis="axisRow" compact="0" outline="0" showAll="0" defaultSubtotal="0">
      <items count="7">
        <item x="3"/>
        <item x="4"/>
        <item x="5"/>
        <item x="6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dataField="1" compact="0" numFmtId="4" outline="0" showAll="0" defaultSubtotal="0"/>
    <pivotField compact="0" outline="0" showAll="0" defaultSubtotal="0"/>
    <pivotField compact="0" outline="0" subtotalTop="0" showAll="0" defaultSubtotal="0"/>
  </pivotFields>
  <rowFields count="2">
    <field x="0"/>
    <field x="1"/>
  </rowFields>
  <rowItems count="8">
    <i>
      <x v="144"/>
      <x v="1"/>
    </i>
    <i>
      <x v="145"/>
      <x v="2"/>
    </i>
    <i>
      <x v="146"/>
      <x v="3"/>
    </i>
    <i>
      <x v="147"/>
      <x v="4"/>
    </i>
    <i>
      <x v="148"/>
      <x v="5"/>
    </i>
    <i>
      <x v="149"/>
      <x v="6"/>
    </i>
    <i>
      <x v="150"/>
      <x/>
    </i>
    <i t="grand">
      <x/>
    </i>
  </rowItems>
  <colItems count="1">
    <i/>
  </colItems>
  <dataFields count="1">
    <dataField name="Soma de Valor do Dia (R$)" fld="7" baseField="0" baseItem="0" numFmtId="4"/>
  </dataFields>
  <formats count="9">
    <format dxfId="16">
      <pivotArea field="0" type="button" dataOnly="0" labelOnly="1" outline="0" axis="axisRow" fieldPosition="0"/>
    </format>
    <format dxfId="15">
      <pivotArea dataOnly="0" labelOnly="1" outline="0" axis="axisValues" fieldPosition="0"/>
    </format>
    <format dxfId="14">
      <pivotArea field="1" type="button" dataOnly="0" labelOnly="1" outline="0" axis="axisRow" fieldPosition="1"/>
    </format>
    <format dxfId="13">
      <pivotArea field="0" type="button" dataOnly="0" labelOnly="1" outline="0" axis="axisRow" fieldPosition="0"/>
    </format>
    <format dxfId="12">
      <pivotArea field="1" type="button" dataOnly="0" labelOnly="1" outline="0" axis="axisRow" fieldPosition="1"/>
    </format>
    <format dxfId="11">
      <pivotArea dataOnly="0" labelOnly="1" outline="0" axis="axisValues" fieldPosition="0"/>
    </format>
    <format dxfId="10">
      <pivotArea dataOnly="0" labelOnly="1" grandRow="1" outline="0" offset="IV256" fieldPosition="0"/>
    </format>
    <format dxfId="9">
      <pivotArea grandRow="1" outline="0" collapsedLevelsAreSubtotals="1" fieldPosition="0"/>
    </format>
    <format dxfId="8">
      <pivotArea dataOnly="0" labelOnly="1" grandRow="1" outline="0" offset="A256" fieldPosition="0"/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F3765-DE28-4413-87F6-0C45B69F9E18}" name="Tabela dinâ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E3:G16" firstHeaderRow="0" firstDataRow="1" firstDataCol="1"/>
  <pivotFields count="10">
    <pivotField axis="axisRow"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dataField="1" numFmtId="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9"/>
    <field x="8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do Dia (R$)" fld="7" baseField="0" baseItem="0" numFmtId="4"/>
    <dataField name="Soma de Horas do Dia" fld="6" baseField="9" baseItem="1" numFmtId="165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40F8C2-FBD0-4868-A643-0941E8DB18F5}" name="Tabela2" displayName="Tabela2" ref="A1:J366" totalsRowShown="0" headerRowDxfId="7">
  <autoFilter ref="A1:J366" xr:uid="{FC40F8C2-FBD0-4868-A643-0941E8DB18F5}"/>
  <tableColumns count="10">
    <tableColumn id="1" xr3:uid="{DCE2A5AA-A9BF-4A60-9F05-DBA4E80EA3A8}" name="Data" dataDxfId="6"/>
    <tableColumn id="2" xr3:uid="{88BABCE8-EACD-4369-A39F-4C5E140AFB1D}" name="Dia da Semana"/>
    <tableColumn id="3" xr3:uid="{D8B9E5E9-413A-4BE2-9680-2FA8F01A6793}" name="Entrada 1" dataDxfId="5"/>
    <tableColumn id="4" xr3:uid="{5D896220-52BB-4057-85EF-3F881D4CA19B}" name="Saída 1" dataDxfId="4"/>
    <tableColumn id="5" xr3:uid="{20493D4B-B618-4149-A352-71760994BEFB}" name="Entrada 2" dataDxfId="3"/>
    <tableColumn id="6" xr3:uid="{DC19B717-2E9C-4E9A-8000-EDBD8A1A5A10}" name="Saída 2" dataDxfId="2"/>
    <tableColumn id="7" xr3:uid="{FED0185C-90AB-4B3C-91BE-7A4056B5D94A}" name="Horas do Dia" dataDxfId="1">
      <calculatedColumnFormula>IF(AND(C2&lt;&gt;"",D2&lt;&gt;""),(D2-C2),0)+IF(AND(E2&lt;&gt;"",F2&lt;&gt;""),(F2-E2),0)</calculatedColumnFormula>
    </tableColumn>
    <tableColumn id="8" xr3:uid="{256200B0-1A8A-4D74-BD27-36D992BD6CDE}" name="Valor do Dia (R$)" dataDxfId="0">
      <calculatedColumnFormula>(G2*24)*$I$2</calculatedColumnFormula>
    </tableColumn>
    <tableColumn id="9" xr3:uid="{30DF79E9-4419-428C-97BA-41F558FA20EE}" name="Valor Hora"/>
    <tableColumn id="10" xr3:uid="{0FFB9DE6-8F83-CF4F-8A98-A1D742C603F3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topLeftCell="D121" zoomScale="80" workbookViewId="0">
      <selection activeCell="F154" sqref="F154"/>
    </sheetView>
  </sheetViews>
  <sheetFormatPr defaultColWidth="12.5078125" defaultRowHeight="15" customHeight="1" x14ac:dyDescent="0.2"/>
  <cols>
    <col min="1" max="2" width="17.484375" customWidth="1"/>
    <col min="3" max="6" width="17.484375" style="4" customWidth="1"/>
    <col min="7" max="7" width="17.484375" customWidth="1"/>
    <col min="8" max="8" width="19.234375" customWidth="1"/>
    <col min="9" max="9" width="13.1796875" customWidth="1"/>
    <col min="10" max="11" width="7.53125" customWidth="1"/>
  </cols>
  <sheetData>
    <row r="1" spans="1:10" x14ac:dyDescent="0.2">
      <c r="A1" s="12" t="s">
        <v>0</v>
      </c>
      <c r="B1" s="13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3" t="s">
        <v>6</v>
      </c>
      <c r="H1" s="13" t="s">
        <v>7</v>
      </c>
      <c r="I1" s="13" t="s">
        <v>8</v>
      </c>
      <c r="J1" s="20" t="s">
        <v>54</v>
      </c>
    </row>
    <row r="2" spans="1:10" x14ac:dyDescent="0.2">
      <c r="A2" s="14">
        <v>46023</v>
      </c>
      <c r="B2" t="s">
        <v>9</v>
      </c>
      <c r="G2" s="1">
        <f t="shared" ref="G2:G65" si="0">IF(AND(C2&lt;&gt;"",D2&lt;&gt;""),(D2-C2),0)+IF(AND(E2&lt;&gt;"",F2&lt;&gt;""),(F2-E2),0)</f>
        <v>0</v>
      </c>
      <c r="H2" s="2">
        <f>(G2*24)*$I$2</f>
        <v>0</v>
      </c>
      <c r="I2">
        <v>12</v>
      </c>
    </row>
    <row r="3" spans="1:10" x14ac:dyDescent="0.2">
      <c r="A3" s="14">
        <v>46024</v>
      </c>
      <c r="B3" t="s">
        <v>10</v>
      </c>
      <c r="G3" s="1">
        <f t="shared" si="0"/>
        <v>0</v>
      </c>
      <c r="H3" s="2">
        <f t="shared" ref="H3:H66" si="1">(G3*24)*$I$2</f>
        <v>0</v>
      </c>
    </row>
    <row r="4" spans="1:10" x14ac:dyDescent="0.2">
      <c r="A4" s="14">
        <v>46025</v>
      </c>
      <c r="B4" t="s">
        <v>11</v>
      </c>
      <c r="G4" s="1">
        <f t="shared" si="0"/>
        <v>0</v>
      </c>
      <c r="H4" s="2">
        <f t="shared" si="1"/>
        <v>0</v>
      </c>
    </row>
    <row r="5" spans="1:10" x14ac:dyDescent="0.2">
      <c r="A5" s="14">
        <v>46026</v>
      </c>
      <c r="B5" t="s">
        <v>12</v>
      </c>
      <c r="G5" s="1">
        <f t="shared" si="0"/>
        <v>0</v>
      </c>
      <c r="H5" s="2">
        <f t="shared" si="1"/>
        <v>0</v>
      </c>
    </row>
    <row r="6" spans="1:10" x14ac:dyDescent="0.2">
      <c r="A6" s="14">
        <v>46027</v>
      </c>
      <c r="B6" t="s">
        <v>13</v>
      </c>
      <c r="C6" s="3"/>
      <c r="D6" s="3"/>
      <c r="G6" s="1">
        <f t="shared" si="0"/>
        <v>0</v>
      </c>
      <c r="H6" s="2">
        <f t="shared" si="1"/>
        <v>0</v>
      </c>
    </row>
    <row r="7" spans="1:10" x14ac:dyDescent="0.2">
      <c r="A7" s="14">
        <v>46028</v>
      </c>
      <c r="B7" t="s">
        <v>14</v>
      </c>
      <c r="C7" s="4" t="s">
        <v>15</v>
      </c>
      <c r="D7" s="4" t="s">
        <v>16</v>
      </c>
      <c r="G7" s="1">
        <f t="shared" si="0"/>
        <v>0.17013888888888884</v>
      </c>
      <c r="H7" s="2">
        <f t="shared" si="1"/>
        <v>48.999999999999986</v>
      </c>
    </row>
    <row r="8" spans="1:10" x14ac:dyDescent="0.2">
      <c r="A8" s="14">
        <v>46029</v>
      </c>
      <c r="B8" t="s">
        <v>17</v>
      </c>
      <c r="C8" s="4" t="s">
        <v>18</v>
      </c>
      <c r="D8" s="4" t="s">
        <v>19</v>
      </c>
      <c r="G8" s="1">
        <f t="shared" si="0"/>
        <v>0.21527777777777768</v>
      </c>
      <c r="H8" s="2">
        <f t="shared" si="1"/>
        <v>61.999999999999972</v>
      </c>
    </row>
    <row r="9" spans="1:10" x14ac:dyDescent="0.2">
      <c r="A9" s="14">
        <v>46030</v>
      </c>
      <c r="B9" t="s">
        <v>9</v>
      </c>
      <c r="C9" s="4" t="s">
        <v>20</v>
      </c>
      <c r="D9" s="4" t="s">
        <v>21</v>
      </c>
      <c r="G9" s="1">
        <f t="shared" si="0"/>
        <v>0.18055555555555558</v>
      </c>
      <c r="H9" s="2">
        <f t="shared" si="1"/>
        <v>52.000000000000007</v>
      </c>
    </row>
    <row r="10" spans="1:10" x14ac:dyDescent="0.2">
      <c r="A10" s="14">
        <v>46031</v>
      </c>
      <c r="B10" t="s">
        <v>10</v>
      </c>
      <c r="C10" s="4" t="s">
        <v>15</v>
      </c>
      <c r="D10" s="4" t="s">
        <v>21</v>
      </c>
      <c r="G10" s="1">
        <f t="shared" si="0"/>
        <v>0.16319444444444442</v>
      </c>
      <c r="H10" s="2">
        <f t="shared" si="1"/>
        <v>46.999999999999993</v>
      </c>
    </row>
    <row r="11" spans="1:10" x14ac:dyDescent="0.2">
      <c r="A11" s="14">
        <v>46032</v>
      </c>
      <c r="B11" t="s">
        <v>11</v>
      </c>
      <c r="C11" s="4" t="s">
        <v>22</v>
      </c>
      <c r="D11" s="4" t="s">
        <v>23</v>
      </c>
      <c r="E11" s="4" t="s">
        <v>24</v>
      </c>
      <c r="F11" s="4" t="s">
        <v>25</v>
      </c>
      <c r="G11" s="1">
        <f t="shared" si="0"/>
        <v>0.4548611111111111</v>
      </c>
      <c r="H11" s="2">
        <f t="shared" si="1"/>
        <v>131</v>
      </c>
    </row>
    <row r="12" spans="1:10" x14ac:dyDescent="0.2">
      <c r="A12" s="14">
        <v>46033</v>
      </c>
      <c r="B12" t="s">
        <v>12</v>
      </c>
      <c r="G12" s="1">
        <f t="shared" si="0"/>
        <v>0</v>
      </c>
      <c r="H12" s="2">
        <f t="shared" si="1"/>
        <v>0</v>
      </c>
    </row>
    <row r="13" spans="1:10" x14ac:dyDescent="0.2">
      <c r="A13" s="14">
        <v>46034</v>
      </c>
      <c r="B13" t="s">
        <v>13</v>
      </c>
      <c r="G13" s="1">
        <f t="shared" si="0"/>
        <v>0</v>
      </c>
      <c r="H13" s="2">
        <f t="shared" si="1"/>
        <v>0</v>
      </c>
    </row>
    <row r="14" spans="1:10" x14ac:dyDescent="0.2">
      <c r="A14" s="14">
        <v>46035</v>
      </c>
      <c r="B14" t="s">
        <v>14</v>
      </c>
      <c r="C14" s="4" t="s">
        <v>15</v>
      </c>
      <c r="D14" s="4" t="s">
        <v>21</v>
      </c>
      <c r="G14" s="1">
        <f t="shared" si="0"/>
        <v>0.16319444444444442</v>
      </c>
      <c r="H14" s="2">
        <f t="shared" si="1"/>
        <v>46.999999999999993</v>
      </c>
    </row>
    <row r="15" spans="1:10" x14ac:dyDescent="0.2">
      <c r="A15" s="14">
        <v>46036</v>
      </c>
      <c r="B15" t="s">
        <v>17</v>
      </c>
      <c r="C15" s="4" t="s">
        <v>26</v>
      </c>
      <c r="D15" s="4" t="s">
        <v>21</v>
      </c>
      <c r="G15" s="1">
        <f t="shared" si="0"/>
        <v>0.16666666666666663</v>
      </c>
      <c r="H15" s="2">
        <f t="shared" si="1"/>
        <v>47.999999999999986</v>
      </c>
    </row>
    <row r="16" spans="1:10" x14ac:dyDescent="0.2">
      <c r="A16" s="14">
        <v>46037</v>
      </c>
      <c r="B16" t="s">
        <v>9</v>
      </c>
      <c r="C16" s="4" t="s">
        <v>15</v>
      </c>
      <c r="D16" s="4" t="s">
        <v>27</v>
      </c>
      <c r="G16" s="1">
        <f t="shared" si="0"/>
        <v>0.20486111111111105</v>
      </c>
      <c r="H16" s="2">
        <f t="shared" si="1"/>
        <v>58.999999999999986</v>
      </c>
    </row>
    <row r="17" spans="1:8" x14ac:dyDescent="0.2">
      <c r="A17" s="14">
        <v>46038</v>
      </c>
      <c r="B17" t="s">
        <v>10</v>
      </c>
      <c r="C17" s="4" t="s">
        <v>26</v>
      </c>
      <c r="D17" s="4" t="s">
        <v>28</v>
      </c>
      <c r="G17" s="1">
        <f t="shared" si="0"/>
        <v>0.17708333333333326</v>
      </c>
      <c r="H17" s="2">
        <f t="shared" si="1"/>
        <v>50.999999999999979</v>
      </c>
    </row>
    <row r="18" spans="1:8" x14ac:dyDescent="0.2">
      <c r="A18" s="14">
        <v>46039</v>
      </c>
      <c r="B18" t="s">
        <v>11</v>
      </c>
      <c r="C18" s="4" t="s">
        <v>29</v>
      </c>
      <c r="D18" s="4" t="s">
        <v>23</v>
      </c>
      <c r="E18" s="4" t="s">
        <v>24</v>
      </c>
      <c r="F18" s="4" t="s">
        <v>30</v>
      </c>
      <c r="G18" s="1">
        <f t="shared" si="0"/>
        <v>0.42222222222222217</v>
      </c>
      <c r="H18" s="2">
        <f t="shared" si="1"/>
        <v>121.6</v>
      </c>
    </row>
    <row r="19" spans="1:8" x14ac:dyDescent="0.2">
      <c r="A19" s="14">
        <v>46040</v>
      </c>
      <c r="B19" t="s">
        <v>12</v>
      </c>
      <c r="G19" s="1">
        <f t="shared" si="0"/>
        <v>0</v>
      </c>
      <c r="H19" s="2">
        <f t="shared" si="1"/>
        <v>0</v>
      </c>
    </row>
    <row r="20" spans="1:8" x14ac:dyDescent="0.2">
      <c r="A20" s="14">
        <v>46041</v>
      </c>
      <c r="B20" t="s">
        <v>13</v>
      </c>
      <c r="G20" s="1">
        <f t="shared" si="0"/>
        <v>0</v>
      </c>
      <c r="H20" s="2">
        <f t="shared" si="1"/>
        <v>0</v>
      </c>
    </row>
    <row r="21" spans="1:8" ht="15.75" customHeight="1" x14ac:dyDescent="0.2">
      <c r="A21" s="14">
        <v>46042</v>
      </c>
      <c r="B21" t="s">
        <v>14</v>
      </c>
      <c r="C21" s="4" t="s">
        <v>15</v>
      </c>
      <c r="D21" s="4" t="s">
        <v>28</v>
      </c>
      <c r="G21" s="1">
        <f t="shared" si="0"/>
        <v>0.17361111111111105</v>
      </c>
      <c r="H21" s="2">
        <f t="shared" si="1"/>
        <v>49.999999999999986</v>
      </c>
    </row>
    <row r="22" spans="1:8" ht="15.75" customHeight="1" x14ac:dyDescent="0.2">
      <c r="A22" s="14">
        <v>46043</v>
      </c>
      <c r="B22" t="s">
        <v>17</v>
      </c>
      <c r="C22" s="4" t="s">
        <v>31</v>
      </c>
      <c r="D22" s="4" t="s">
        <v>32</v>
      </c>
      <c r="G22" s="1">
        <f t="shared" si="0"/>
        <v>0.20486111111111105</v>
      </c>
      <c r="H22" s="2">
        <f t="shared" si="1"/>
        <v>58.999999999999986</v>
      </c>
    </row>
    <row r="23" spans="1:8" ht="15.75" customHeight="1" x14ac:dyDescent="0.2">
      <c r="A23" s="14">
        <v>46044</v>
      </c>
      <c r="B23" t="s">
        <v>9</v>
      </c>
      <c r="C23" s="4" t="s">
        <v>15</v>
      </c>
      <c r="D23" s="4" t="s">
        <v>21</v>
      </c>
      <c r="G23" s="1">
        <f t="shared" si="0"/>
        <v>0.16319444444444442</v>
      </c>
      <c r="H23" s="2">
        <f t="shared" si="1"/>
        <v>46.999999999999993</v>
      </c>
    </row>
    <row r="24" spans="1:8" ht="15.75" customHeight="1" x14ac:dyDescent="0.2">
      <c r="A24" s="14">
        <v>46045</v>
      </c>
      <c r="B24" t="s">
        <v>10</v>
      </c>
      <c r="C24" s="4" t="s">
        <v>15</v>
      </c>
      <c r="D24" s="4" t="s">
        <v>19</v>
      </c>
      <c r="G24" s="1">
        <f t="shared" si="0"/>
        <v>0.17708333333333326</v>
      </c>
      <c r="H24" s="2">
        <f t="shared" si="1"/>
        <v>50.999999999999979</v>
      </c>
    </row>
    <row r="25" spans="1:8" ht="15.75" customHeight="1" x14ac:dyDescent="0.2">
      <c r="A25" s="14">
        <v>46046</v>
      </c>
      <c r="B25" t="s">
        <v>11</v>
      </c>
      <c r="C25" s="4" t="s">
        <v>33</v>
      </c>
      <c r="D25" s="4" t="s">
        <v>16</v>
      </c>
      <c r="G25" s="1">
        <f t="shared" si="0"/>
        <v>0.32291666666666663</v>
      </c>
      <c r="H25" s="2">
        <f t="shared" si="1"/>
        <v>92.999999999999986</v>
      </c>
    </row>
    <row r="26" spans="1:8" ht="15.75" customHeight="1" x14ac:dyDescent="0.2">
      <c r="A26" s="14">
        <v>46047</v>
      </c>
      <c r="B26" t="s">
        <v>12</v>
      </c>
      <c r="G26" s="1">
        <f t="shared" si="0"/>
        <v>0</v>
      </c>
      <c r="H26" s="2">
        <f t="shared" si="1"/>
        <v>0</v>
      </c>
    </row>
    <row r="27" spans="1:8" ht="15.75" customHeight="1" x14ac:dyDescent="0.2">
      <c r="A27" s="14">
        <v>46048</v>
      </c>
      <c r="B27" t="s">
        <v>13</v>
      </c>
      <c r="G27" s="1">
        <f t="shared" si="0"/>
        <v>0</v>
      </c>
      <c r="H27" s="2">
        <f t="shared" si="1"/>
        <v>0</v>
      </c>
    </row>
    <row r="28" spans="1:8" ht="15.75" customHeight="1" x14ac:dyDescent="0.2">
      <c r="A28" s="14">
        <v>46049</v>
      </c>
      <c r="B28" t="s">
        <v>14</v>
      </c>
      <c r="C28" s="4" t="s">
        <v>34</v>
      </c>
      <c r="D28" s="4" t="s">
        <v>35</v>
      </c>
      <c r="G28" s="1">
        <f t="shared" si="0"/>
        <v>0.28819444444444442</v>
      </c>
      <c r="H28" s="2">
        <f t="shared" si="1"/>
        <v>83</v>
      </c>
    </row>
    <row r="29" spans="1:8" ht="15.75" customHeight="1" x14ac:dyDescent="0.2">
      <c r="A29" s="14">
        <v>46050</v>
      </c>
      <c r="B29" t="s">
        <v>17</v>
      </c>
      <c r="C29" s="4" t="s">
        <v>15</v>
      </c>
      <c r="D29" s="4" t="s">
        <v>25</v>
      </c>
      <c r="G29" s="1">
        <f t="shared" si="0"/>
        <v>0.19444444444444442</v>
      </c>
      <c r="H29" s="2">
        <f t="shared" si="1"/>
        <v>55.999999999999993</v>
      </c>
    </row>
    <row r="30" spans="1:8" ht="15.75" customHeight="1" x14ac:dyDescent="0.2">
      <c r="A30" s="14">
        <v>46051</v>
      </c>
      <c r="B30" t="s">
        <v>9</v>
      </c>
      <c r="C30" s="4" t="s">
        <v>36</v>
      </c>
      <c r="D30" s="17">
        <v>0.875</v>
      </c>
      <c r="G30" s="1">
        <f t="shared" si="0"/>
        <v>0.17361111111111116</v>
      </c>
      <c r="H30" s="2">
        <f t="shared" si="1"/>
        <v>50.000000000000014</v>
      </c>
    </row>
    <row r="31" spans="1:8" ht="15.75" customHeight="1" x14ac:dyDescent="0.2">
      <c r="A31" s="14">
        <v>46052</v>
      </c>
      <c r="B31" t="s">
        <v>10</v>
      </c>
      <c r="C31" s="3">
        <v>0.71388888888888891</v>
      </c>
      <c r="D31" s="3">
        <v>0.90972222222222221</v>
      </c>
      <c r="G31" s="1">
        <f t="shared" si="0"/>
        <v>0.1958333333333333</v>
      </c>
      <c r="H31" s="2">
        <f t="shared" si="1"/>
        <v>56.399999999999991</v>
      </c>
    </row>
    <row r="32" spans="1:8" ht="15.75" customHeight="1" x14ac:dyDescent="0.2">
      <c r="A32" s="14">
        <v>46053</v>
      </c>
      <c r="B32" t="s">
        <v>11</v>
      </c>
      <c r="C32" s="3">
        <v>0.39930555555555558</v>
      </c>
      <c r="D32" s="3">
        <v>0.5</v>
      </c>
      <c r="E32" s="3">
        <v>0.55902777777777779</v>
      </c>
      <c r="F32" s="3">
        <v>0.875</v>
      </c>
      <c r="G32" s="1">
        <f t="shared" si="0"/>
        <v>0.41666666666666663</v>
      </c>
      <c r="H32" s="2">
        <f t="shared" si="1"/>
        <v>120</v>
      </c>
    </row>
    <row r="33" spans="1:9" ht="15.75" customHeight="1" x14ac:dyDescent="0.2">
      <c r="A33" s="14">
        <v>46054</v>
      </c>
      <c r="B33" t="s">
        <v>12</v>
      </c>
      <c r="G33" s="1">
        <f t="shared" si="0"/>
        <v>0</v>
      </c>
      <c r="H33" s="2">
        <f t="shared" si="1"/>
        <v>0</v>
      </c>
      <c r="I33" s="7"/>
    </row>
    <row r="34" spans="1:9" ht="15.75" customHeight="1" x14ac:dyDescent="0.2">
      <c r="A34" s="14">
        <v>46055</v>
      </c>
      <c r="B34" t="s">
        <v>13</v>
      </c>
      <c r="G34" s="1">
        <f t="shared" si="0"/>
        <v>0</v>
      </c>
      <c r="H34" s="2">
        <f t="shared" si="1"/>
        <v>0</v>
      </c>
    </row>
    <row r="35" spans="1:9" ht="15.75" customHeight="1" x14ac:dyDescent="0.2">
      <c r="A35" s="14">
        <v>46056</v>
      </c>
      <c r="B35" t="s">
        <v>14</v>
      </c>
      <c r="G35" s="1">
        <f t="shared" si="0"/>
        <v>0</v>
      </c>
      <c r="H35" s="2">
        <f t="shared" si="1"/>
        <v>0</v>
      </c>
    </row>
    <row r="36" spans="1:9" ht="15.75" customHeight="1" x14ac:dyDescent="0.2">
      <c r="A36" s="14">
        <v>46057</v>
      </c>
      <c r="B36" t="s">
        <v>17</v>
      </c>
      <c r="C36" s="3">
        <v>0.72569444444444442</v>
      </c>
      <c r="D36" s="3">
        <v>0.875</v>
      </c>
      <c r="G36" s="1">
        <f t="shared" si="0"/>
        <v>0.14930555555555558</v>
      </c>
      <c r="H36" s="2">
        <f t="shared" si="1"/>
        <v>43.000000000000007</v>
      </c>
    </row>
    <row r="37" spans="1:9" ht="15.75" customHeight="1" x14ac:dyDescent="0.2">
      <c r="A37" s="14">
        <v>46058</v>
      </c>
      <c r="B37" t="s">
        <v>9</v>
      </c>
      <c r="C37" s="3">
        <v>0.71180555555555558</v>
      </c>
      <c r="D37" s="3">
        <v>0.875</v>
      </c>
      <c r="G37" s="1">
        <f t="shared" si="0"/>
        <v>0.16319444444444442</v>
      </c>
      <c r="H37" s="2">
        <f t="shared" si="1"/>
        <v>46.999999999999993</v>
      </c>
    </row>
    <row r="38" spans="1:9" ht="15.75" customHeight="1" x14ac:dyDescent="0.2">
      <c r="A38" s="14">
        <v>46059</v>
      </c>
      <c r="B38" t="s">
        <v>10</v>
      </c>
      <c r="C38" s="3">
        <v>0.70833333333333337</v>
      </c>
      <c r="D38" s="3">
        <v>0.88541666666666663</v>
      </c>
      <c r="G38" s="1">
        <f t="shared" si="0"/>
        <v>0.17708333333333326</v>
      </c>
      <c r="H38" s="2">
        <f t="shared" si="1"/>
        <v>50.999999999999979</v>
      </c>
    </row>
    <row r="39" spans="1:9" ht="15.75" customHeight="1" x14ac:dyDescent="0.2">
      <c r="A39" s="14">
        <v>46060</v>
      </c>
      <c r="B39" t="s">
        <v>11</v>
      </c>
      <c r="C39" s="3">
        <v>0.36458333333333331</v>
      </c>
      <c r="D39" s="3">
        <v>0.5</v>
      </c>
      <c r="E39" s="3">
        <v>0.56944444444444442</v>
      </c>
      <c r="F39" s="3">
        <v>0.875</v>
      </c>
      <c r="G39" s="1">
        <f t="shared" si="0"/>
        <v>0.44097222222222227</v>
      </c>
      <c r="H39" s="2">
        <f t="shared" si="1"/>
        <v>127</v>
      </c>
    </row>
    <row r="40" spans="1:9" ht="15.75" customHeight="1" x14ac:dyDescent="0.2">
      <c r="A40" s="14">
        <v>46061</v>
      </c>
      <c r="B40" t="s">
        <v>12</v>
      </c>
      <c r="G40" s="1">
        <f t="shared" si="0"/>
        <v>0</v>
      </c>
      <c r="H40" s="2">
        <f t="shared" si="1"/>
        <v>0</v>
      </c>
    </row>
    <row r="41" spans="1:9" ht="15.75" customHeight="1" x14ac:dyDescent="0.2">
      <c r="A41" s="14">
        <v>46062</v>
      </c>
      <c r="B41" t="s">
        <v>13</v>
      </c>
      <c r="G41" s="1">
        <f t="shared" si="0"/>
        <v>0</v>
      </c>
      <c r="H41" s="2">
        <f t="shared" si="1"/>
        <v>0</v>
      </c>
    </row>
    <row r="42" spans="1:9" ht="15.75" customHeight="1" x14ac:dyDescent="0.2">
      <c r="A42" s="14">
        <v>46063</v>
      </c>
      <c r="B42" t="s">
        <v>14</v>
      </c>
      <c r="C42" s="3">
        <v>0.70833333333333337</v>
      </c>
      <c r="D42" s="3">
        <v>0.90277777777777779</v>
      </c>
      <c r="G42" s="1">
        <f t="shared" si="0"/>
        <v>0.19444444444444442</v>
      </c>
      <c r="H42" s="2">
        <f t="shared" si="1"/>
        <v>55.999999999999993</v>
      </c>
    </row>
    <row r="43" spans="1:9" ht="15.75" customHeight="1" x14ac:dyDescent="0.2">
      <c r="A43" s="14">
        <v>46064</v>
      </c>
      <c r="B43" t="s">
        <v>17</v>
      </c>
      <c r="C43" s="3">
        <v>0.70833333333333337</v>
      </c>
      <c r="D43" s="3">
        <v>0.92013888888888884</v>
      </c>
      <c r="G43" s="1">
        <f t="shared" si="0"/>
        <v>0.21180555555555547</v>
      </c>
      <c r="H43" s="2">
        <f t="shared" si="1"/>
        <v>60.999999999999972</v>
      </c>
    </row>
    <row r="44" spans="1:9" ht="15.75" customHeight="1" x14ac:dyDescent="0.2">
      <c r="A44" s="14">
        <v>46065</v>
      </c>
      <c r="B44" t="s">
        <v>9</v>
      </c>
      <c r="C44" s="3">
        <v>0.71180555555555558</v>
      </c>
      <c r="D44" s="3">
        <v>0.89583333333333337</v>
      </c>
      <c r="G44" s="1">
        <f t="shared" si="0"/>
        <v>0.18402777777777779</v>
      </c>
      <c r="H44" s="2">
        <f t="shared" si="1"/>
        <v>53</v>
      </c>
    </row>
    <row r="45" spans="1:9" ht="15.75" customHeight="1" x14ac:dyDescent="0.2">
      <c r="A45" s="14">
        <v>46066</v>
      </c>
      <c r="B45" t="s">
        <v>10</v>
      </c>
      <c r="C45" s="3">
        <v>0.71180555555555558</v>
      </c>
      <c r="D45" s="3">
        <v>0.89236111111111116</v>
      </c>
      <c r="G45" s="1">
        <f t="shared" si="0"/>
        <v>0.18055555555555558</v>
      </c>
      <c r="H45" s="2">
        <f t="shared" si="1"/>
        <v>52.000000000000007</v>
      </c>
    </row>
    <row r="46" spans="1:9" ht="15.75" customHeight="1" x14ac:dyDescent="0.2">
      <c r="A46" s="14">
        <v>46067</v>
      </c>
      <c r="B46" t="s">
        <v>11</v>
      </c>
      <c r="C46" s="3">
        <v>0.36805555555555558</v>
      </c>
      <c r="D46" s="3">
        <v>0.5</v>
      </c>
      <c r="E46" s="3">
        <v>0.56597222222222221</v>
      </c>
      <c r="F46" s="3">
        <v>0.875</v>
      </c>
      <c r="G46" s="1">
        <f t="shared" si="0"/>
        <v>0.44097222222222221</v>
      </c>
      <c r="H46" s="2">
        <f t="shared" si="1"/>
        <v>126.99999999999999</v>
      </c>
    </row>
    <row r="47" spans="1:9" ht="15.75" customHeight="1" x14ac:dyDescent="0.2">
      <c r="A47" s="14">
        <v>46068</v>
      </c>
      <c r="B47" t="s">
        <v>12</v>
      </c>
      <c r="G47" s="1">
        <f t="shared" si="0"/>
        <v>0</v>
      </c>
      <c r="H47" s="2">
        <f t="shared" si="1"/>
        <v>0</v>
      </c>
    </row>
    <row r="48" spans="1:9" ht="15.75" customHeight="1" x14ac:dyDescent="0.2">
      <c r="A48" s="14">
        <v>46069</v>
      </c>
      <c r="B48" t="s">
        <v>13</v>
      </c>
      <c r="G48" s="1">
        <f t="shared" si="0"/>
        <v>0</v>
      </c>
      <c r="H48" s="2">
        <f t="shared" si="1"/>
        <v>0</v>
      </c>
    </row>
    <row r="49" spans="1:8" ht="15.75" customHeight="1" x14ac:dyDescent="0.2">
      <c r="A49" s="14">
        <v>46070</v>
      </c>
      <c r="B49" t="s">
        <v>14</v>
      </c>
      <c r="G49" s="1">
        <f t="shared" si="0"/>
        <v>0</v>
      </c>
      <c r="H49" s="2">
        <f t="shared" si="1"/>
        <v>0</v>
      </c>
    </row>
    <row r="50" spans="1:8" ht="15.75" customHeight="1" x14ac:dyDescent="0.2">
      <c r="A50" s="14">
        <v>46071</v>
      </c>
      <c r="B50" t="s">
        <v>17</v>
      </c>
      <c r="G50" s="1">
        <f t="shared" si="0"/>
        <v>0</v>
      </c>
      <c r="H50" s="2">
        <f t="shared" si="1"/>
        <v>0</v>
      </c>
    </row>
    <row r="51" spans="1:8" ht="15.75" customHeight="1" x14ac:dyDescent="0.2">
      <c r="A51" s="14">
        <v>46072</v>
      </c>
      <c r="B51" t="s">
        <v>9</v>
      </c>
      <c r="C51" s="3">
        <v>0.70833333333333337</v>
      </c>
      <c r="D51" s="3">
        <v>0.875</v>
      </c>
      <c r="G51" s="1">
        <f t="shared" si="0"/>
        <v>0.16666666666666663</v>
      </c>
      <c r="H51" s="2">
        <f t="shared" si="1"/>
        <v>47.999999999999986</v>
      </c>
    </row>
    <row r="52" spans="1:8" ht="15.75" customHeight="1" x14ac:dyDescent="0.2">
      <c r="A52" s="14">
        <v>46073</v>
      </c>
      <c r="B52" t="s">
        <v>10</v>
      </c>
      <c r="C52" s="3">
        <v>0.70486111111111116</v>
      </c>
      <c r="D52" s="3">
        <v>0.89583333333333337</v>
      </c>
      <c r="G52" s="1">
        <f t="shared" si="0"/>
        <v>0.19097222222222221</v>
      </c>
      <c r="H52" s="2">
        <f t="shared" si="1"/>
        <v>55</v>
      </c>
    </row>
    <row r="53" spans="1:8" ht="15.75" customHeight="1" x14ac:dyDescent="0.2">
      <c r="A53" s="14">
        <v>46074</v>
      </c>
      <c r="B53" t="s">
        <v>11</v>
      </c>
      <c r="C53" s="3">
        <v>0.3611111111111111</v>
      </c>
      <c r="D53" s="3">
        <v>0.5</v>
      </c>
      <c r="E53" s="3">
        <v>0.56944444444444442</v>
      </c>
      <c r="F53" s="3">
        <v>0.88541666666666663</v>
      </c>
      <c r="G53" s="1">
        <f t="shared" si="0"/>
        <v>0.4548611111111111</v>
      </c>
      <c r="H53" s="2">
        <f t="shared" si="1"/>
        <v>131</v>
      </c>
    </row>
    <row r="54" spans="1:8" ht="15.75" customHeight="1" x14ac:dyDescent="0.2">
      <c r="A54" s="14">
        <v>46075</v>
      </c>
      <c r="B54" t="s">
        <v>12</v>
      </c>
      <c r="G54" s="1">
        <f t="shared" si="0"/>
        <v>0</v>
      </c>
      <c r="H54" s="2">
        <f t="shared" si="1"/>
        <v>0</v>
      </c>
    </row>
    <row r="55" spans="1:8" ht="15.75" customHeight="1" x14ac:dyDescent="0.2">
      <c r="A55" s="14">
        <v>46076</v>
      </c>
      <c r="B55" t="s">
        <v>13</v>
      </c>
      <c r="G55" s="1">
        <f t="shared" si="0"/>
        <v>0</v>
      </c>
      <c r="H55" s="2">
        <f t="shared" si="1"/>
        <v>0</v>
      </c>
    </row>
    <row r="56" spans="1:8" ht="15.75" customHeight="1" x14ac:dyDescent="0.2">
      <c r="A56" s="14">
        <v>46077</v>
      </c>
      <c r="B56" t="s">
        <v>14</v>
      </c>
      <c r="C56" s="3">
        <v>0.67708333333333337</v>
      </c>
      <c r="D56" s="3">
        <v>0.95138888888888884</v>
      </c>
      <c r="G56" s="1">
        <f t="shared" si="0"/>
        <v>0.27430555555555547</v>
      </c>
      <c r="H56" s="2">
        <f t="shared" si="1"/>
        <v>78.999999999999972</v>
      </c>
    </row>
    <row r="57" spans="1:8" ht="15.75" customHeight="1" x14ac:dyDescent="0.2">
      <c r="A57" s="14">
        <v>46078</v>
      </c>
      <c r="B57" t="s">
        <v>17</v>
      </c>
      <c r="C57" s="3">
        <v>0.70486111111111116</v>
      </c>
      <c r="D57" s="3">
        <v>0.9375</v>
      </c>
      <c r="G57" s="1">
        <f t="shared" si="0"/>
        <v>0.23263888888888884</v>
      </c>
      <c r="H57" s="2">
        <f t="shared" si="1"/>
        <v>66.999999999999986</v>
      </c>
    </row>
    <row r="58" spans="1:8" ht="15.75" customHeight="1" x14ac:dyDescent="0.2">
      <c r="A58" s="14">
        <v>46079</v>
      </c>
      <c r="B58" t="s">
        <v>9</v>
      </c>
      <c r="C58" s="3">
        <v>0.71180555555555558</v>
      </c>
      <c r="D58" s="3">
        <v>0.90625</v>
      </c>
      <c r="G58" s="1">
        <f t="shared" si="0"/>
        <v>0.19444444444444442</v>
      </c>
      <c r="H58" s="2">
        <f t="shared" si="1"/>
        <v>55.999999999999993</v>
      </c>
    </row>
    <row r="59" spans="1:8" ht="15.75" customHeight="1" x14ac:dyDescent="0.2">
      <c r="A59" s="14">
        <v>46080</v>
      </c>
      <c r="B59" t="s">
        <v>10</v>
      </c>
      <c r="C59" s="3">
        <v>0.71875</v>
      </c>
      <c r="D59" s="3">
        <v>0.9555555555555556</v>
      </c>
      <c r="G59" s="1">
        <f t="shared" si="0"/>
        <v>0.2368055555555556</v>
      </c>
      <c r="H59" s="2">
        <f t="shared" si="1"/>
        <v>68.200000000000017</v>
      </c>
    </row>
    <row r="60" spans="1:8" ht="15.75" customHeight="1" x14ac:dyDescent="0.2">
      <c r="A60" s="14">
        <v>46081</v>
      </c>
      <c r="B60" t="s">
        <v>11</v>
      </c>
      <c r="C60" s="3">
        <v>0.36805555555555558</v>
      </c>
      <c r="D60" s="3">
        <v>0.5</v>
      </c>
      <c r="E60" s="3">
        <v>0.5625</v>
      </c>
      <c r="F60" s="3">
        <v>0.95138888888888884</v>
      </c>
      <c r="G60" s="1">
        <f t="shared" si="0"/>
        <v>0.52083333333333326</v>
      </c>
      <c r="H60" s="2">
        <f t="shared" si="1"/>
        <v>149.99999999999997</v>
      </c>
    </row>
    <row r="61" spans="1:8" ht="15.75" customHeight="1" x14ac:dyDescent="0.2">
      <c r="A61" s="14">
        <v>46082</v>
      </c>
      <c r="B61" t="s">
        <v>12</v>
      </c>
      <c r="G61" s="1">
        <f t="shared" si="0"/>
        <v>0</v>
      </c>
      <c r="H61" s="2">
        <f t="shared" si="1"/>
        <v>0</v>
      </c>
    </row>
    <row r="62" spans="1:8" ht="15.75" customHeight="1" x14ac:dyDescent="0.2">
      <c r="A62" s="14">
        <v>46083</v>
      </c>
      <c r="B62" t="s">
        <v>13</v>
      </c>
      <c r="G62" s="1">
        <f t="shared" si="0"/>
        <v>0</v>
      </c>
      <c r="H62" s="2">
        <f t="shared" si="1"/>
        <v>0</v>
      </c>
    </row>
    <row r="63" spans="1:8" ht="15.75" customHeight="1" x14ac:dyDescent="0.2">
      <c r="A63" s="14">
        <v>46084</v>
      </c>
      <c r="B63" t="s">
        <v>14</v>
      </c>
      <c r="C63" s="3"/>
      <c r="D63" s="3"/>
      <c r="G63" s="1">
        <f t="shared" si="0"/>
        <v>0</v>
      </c>
      <c r="H63" s="2">
        <f t="shared" si="1"/>
        <v>0</v>
      </c>
    </row>
    <row r="64" spans="1:8" ht="15.75" customHeight="1" x14ac:dyDescent="0.2">
      <c r="A64" s="14">
        <v>46085</v>
      </c>
      <c r="B64" t="s">
        <v>17</v>
      </c>
      <c r="C64" s="3">
        <v>0.71875</v>
      </c>
      <c r="D64" s="3">
        <v>0.87847222222222221</v>
      </c>
      <c r="G64" s="1">
        <f t="shared" si="0"/>
        <v>0.15972222222222221</v>
      </c>
      <c r="H64" s="2">
        <f t="shared" si="1"/>
        <v>46</v>
      </c>
    </row>
    <row r="65" spans="1:8" ht="15.75" customHeight="1" x14ac:dyDescent="0.2">
      <c r="A65" s="14">
        <v>46086</v>
      </c>
      <c r="B65" t="s">
        <v>9</v>
      </c>
      <c r="C65" s="3">
        <v>0.71527777777777779</v>
      </c>
      <c r="D65" s="3">
        <v>0.88194444444444442</v>
      </c>
      <c r="G65" s="1">
        <f t="shared" si="0"/>
        <v>0.16666666666666663</v>
      </c>
      <c r="H65" s="2">
        <f t="shared" si="1"/>
        <v>47.999999999999986</v>
      </c>
    </row>
    <row r="66" spans="1:8" ht="15.75" customHeight="1" x14ac:dyDescent="0.2">
      <c r="A66" s="14">
        <v>46087</v>
      </c>
      <c r="B66" t="s">
        <v>10</v>
      </c>
      <c r="C66" s="3">
        <v>0.72777777777777775</v>
      </c>
      <c r="D66" s="3">
        <v>0.875</v>
      </c>
      <c r="G66" s="1">
        <f t="shared" ref="G66:G129" si="2">IF(AND(C66&lt;&gt;"",D66&lt;&gt;""),(D66-C66),0)+IF(AND(E66&lt;&gt;"",F66&lt;&gt;""),(F66-E66),0)</f>
        <v>0.14722222222222225</v>
      </c>
      <c r="H66" s="2">
        <f t="shared" si="1"/>
        <v>42.400000000000006</v>
      </c>
    </row>
    <row r="67" spans="1:8" ht="15.75" customHeight="1" x14ac:dyDescent="0.2">
      <c r="A67" s="14">
        <v>46088</v>
      </c>
      <c r="B67" t="s">
        <v>11</v>
      </c>
      <c r="C67" s="3">
        <v>0.37847222222222221</v>
      </c>
      <c r="D67" s="3">
        <v>0.5</v>
      </c>
      <c r="E67" s="3">
        <v>0.57291666666666663</v>
      </c>
      <c r="F67" s="3">
        <v>0.91527777777777775</v>
      </c>
      <c r="G67" s="1">
        <f t="shared" si="2"/>
        <v>0.46388888888888891</v>
      </c>
      <c r="H67" s="2">
        <f t="shared" ref="H67:H130" si="3">(G67*24)*$I$2</f>
        <v>133.6</v>
      </c>
    </row>
    <row r="68" spans="1:8" ht="15.75" customHeight="1" x14ac:dyDescent="0.2">
      <c r="A68" s="14">
        <v>46089</v>
      </c>
      <c r="B68" t="s">
        <v>12</v>
      </c>
      <c r="G68" s="1">
        <f t="shared" si="2"/>
        <v>0</v>
      </c>
      <c r="H68" s="2">
        <f t="shared" si="3"/>
        <v>0</v>
      </c>
    </row>
    <row r="69" spans="1:8" ht="15.75" customHeight="1" x14ac:dyDescent="0.2">
      <c r="A69" s="14">
        <v>46090</v>
      </c>
      <c r="B69" t="s">
        <v>13</v>
      </c>
      <c r="G69" s="1">
        <f t="shared" si="2"/>
        <v>0</v>
      </c>
      <c r="H69" s="2">
        <f t="shared" si="3"/>
        <v>0</v>
      </c>
    </row>
    <row r="70" spans="1:8" ht="15.75" customHeight="1" x14ac:dyDescent="0.2">
      <c r="A70" s="14">
        <v>46091</v>
      </c>
      <c r="B70" t="s">
        <v>14</v>
      </c>
      <c r="C70" s="3">
        <v>0.72916666666666663</v>
      </c>
      <c r="D70" s="3">
        <v>0.9375</v>
      </c>
      <c r="G70" s="1">
        <f t="shared" si="2"/>
        <v>0.20833333333333337</v>
      </c>
      <c r="H70" s="2">
        <f t="shared" si="3"/>
        <v>60.000000000000014</v>
      </c>
    </row>
    <row r="71" spans="1:8" ht="15.75" customHeight="1" x14ac:dyDescent="0.2">
      <c r="A71" s="14">
        <v>46092</v>
      </c>
      <c r="B71" t="s">
        <v>17</v>
      </c>
      <c r="C71" s="3">
        <v>0.72916666666666663</v>
      </c>
      <c r="D71" s="3">
        <v>0.92361111111111116</v>
      </c>
      <c r="G71" s="1">
        <f t="shared" si="2"/>
        <v>0.19444444444444453</v>
      </c>
      <c r="H71" s="2">
        <f t="shared" si="3"/>
        <v>56.000000000000028</v>
      </c>
    </row>
    <row r="72" spans="1:8" ht="15.75" customHeight="1" x14ac:dyDescent="0.2">
      <c r="A72" s="14">
        <v>46093</v>
      </c>
      <c r="B72" t="s">
        <v>9</v>
      </c>
      <c r="C72" s="3">
        <v>0.72222222222222221</v>
      </c>
      <c r="D72" s="3">
        <v>0.87847222222222221</v>
      </c>
      <c r="G72" s="1">
        <f t="shared" si="2"/>
        <v>0.15625</v>
      </c>
      <c r="H72" s="2">
        <f t="shared" si="3"/>
        <v>45</v>
      </c>
    </row>
    <row r="73" spans="1:8" ht="15.75" customHeight="1" x14ac:dyDescent="0.2">
      <c r="A73" s="14">
        <v>46094</v>
      </c>
      <c r="B73" t="s">
        <v>10</v>
      </c>
      <c r="C73" s="3">
        <v>0.72916666666666663</v>
      </c>
      <c r="D73" s="3">
        <v>0.91666666666666663</v>
      </c>
      <c r="G73" s="1">
        <f t="shared" si="2"/>
        <v>0.1875</v>
      </c>
      <c r="H73" s="2">
        <f t="shared" si="3"/>
        <v>54</v>
      </c>
    </row>
    <row r="74" spans="1:8" ht="15.75" customHeight="1" x14ac:dyDescent="0.2">
      <c r="A74" s="14">
        <v>46095</v>
      </c>
      <c r="B74" t="s">
        <v>11</v>
      </c>
      <c r="C74" s="3">
        <v>0.3611111111111111</v>
      </c>
      <c r="D74" s="3">
        <v>0.50347222222222221</v>
      </c>
      <c r="E74" s="3">
        <v>0.5625</v>
      </c>
      <c r="F74" s="3">
        <v>0.875</v>
      </c>
      <c r="G74" s="1">
        <f t="shared" si="2"/>
        <v>0.4548611111111111</v>
      </c>
      <c r="H74" s="2">
        <f t="shared" si="3"/>
        <v>131</v>
      </c>
    </row>
    <row r="75" spans="1:8" ht="15.75" customHeight="1" x14ac:dyDescent="0.2">
      <c r="A75" s="14">
        <v>46096</v>
      </c>
      <c r="B75" t="s">
        <v>12</v>
      </c>
      <c r="G75" s="1">
        <f t="shared" si="2"/>
        <v>0</v>
      </c>
      <c r="H75" s="2">
        <f t="shared" si="3"/>
        <v>0</v>
      </c>
    </row>
    <row r="76" spans="1:8" ht="15.75" customHeight="1" x14ac:dyDescent="0.2">
      <c r="A76" s="14">
        <v>46097</v>
      </c>
      <c r="B76" t="s">
        <v>13</v>
      </c>
      <c r="C76" s="3"/>
      <c r="D76" s="3"/>
      <c r="G76" s="1">
        <f t="shared" si="2"/>
        <v>0</v>
      </c>
      <c r="H76" s="2">
        <f t="shared" si="3"/>
        <v>0</v>
      </c>
    </row>
    <row r="77" spans="1:8" ht="15.75" customHeight="1" x14ac:dyDescent="0.2">
      <c r="A77" s="14">
        <v>46098</v>
      </c>
      <c r="B77" t="s">
        <v>14</v>
      </c>
      <c r="C77" s="3">
        <v>0.72569444444444442</v>
      </c>
      <c r="D77" s="3">
        <v>0.91319444444444442</v>
      </c>
      <c r="G77" s="1">
        <f t="shared" si="2"/>
        <v>0.1875</v>
      </c>
      <c r="H77" s="2">
        <f t="shared" si="3"/>
        <v>54</v>
      </c>
    </row>
    <row r="78" spans="1:8" ht="15.75" customHeight="1" x14ac:dyDescent="0.2">
      <c r="A78" s="14">
        <v>46099</v>
      </c>
      <c r="B78" t="s">
        <v>17</v>
      </c>
      <c r="C78" s="3">
        <v>0.71875</v>
      </c>
      <c r="D78" s="3">
        <v>0.89236111111111116</v>
      </c>
      <c r="G78" s="1">
        <f t="shared" si="2"/>
        <v>0.17361111111111116</v>
      </c>
      <c r="H78" s="2">
        <f t="shared" si="3"/>
        <v>50.000000000000014</v>
      </c>
    </row>
    <row r="79" spans="1:8" ht="15.75" customHeight="1" x14ac:dyDescent="0.2">
      <c r="A79" s="14">
        <v>46100</v>
      </c>
      <c r="B79" t="s">
        <v>9</v>
      </c>
      <c r="C79" s="3">
        <v>0.72222222222222221</v>
      </c>
      <c r="D79" s="3">
        <v>0.88888888888888884</v>
      </c>
      <c r="G79" s="1">
        <f t="shared" si="2"/>
        <v>0.16666666666666663</v>
      </c>
      <c r="H79" s="2">
        <f t="shared" si="3"/>
        <v>47.999999999999986</v>
      </c>
    </row>
    <row r="80" spans="1:8" ht="15.75" customHeight="1" x14ac:dyDescent="0.2">
      <c r="A80" s="14">
        <v>46101</v>
      </c>
      <c r="B80" t="s">
        <v>10</v>
      </c>
      <c r="C80" s="3">
        <v>0.72569444444444442</v>
      </c>
      <c r="D80" s="3">
        <v>0.92361111111111116</v>
      </c>
      <c r="G80" s="1">
        <f t="shared" si="2"/>
        <v>0.19791666666666674</v>
      </c>
      <c r="H80" s="2">
        <f t="shared" si="3"/>
        <v>57.000000000000021</v>
      </c>
    </row>
    <row r="81" spans="1:8" ht="15.75" customHeight="1" x14ac:dyDescent="0.2">
      <c r="A81" s="14">
        <v>46102</v>
      </c>
      <c r="B81" t="s">
        <v>11</v>
      </c>
      <c r="C81" s="3">
        <v>0.3611111111111111</v>
      </c>
      <c r="D81" s="3">
        <v>0.5</v>
      </c>
      <c r="E81" s="3">
        <v>0.56597222222222221</v>
      </c>
      <c r="F81" s="3">
        <v>0.91666666666666663</v>
      </c>
      <c r="G81" s="1">
        <f t="shared" si="2"/>
        <v>0.48958333333333331</v>
      </c>
      <c r="H81" s="2">
        <f t="shared" si="3"/>
        <v>141</v>
      </c>
    </row>
    <row r="82" spans="1:8" ht="15.75" customHeight="1" x14ac:dyDescent="0.2">
      <c r="A82" s="14">
        <v>46103</v>
      </c>
      <c r="B82" t="s">
        <v>12</v>
      </c>
      <c r="G82" s="1">
        <f t="shared" si="2"/>
        <v>0</v>
      </c>
      <c r="H82" s="2">
        <f t="shared" si="3"/>
        <v>0</v>
      </c>
    </row>
    <row r="83" spans="1:8" ht="15.75" customHeight="1" x14ac:dyDescent="0.2">
      <c r="A83" s="14">
        <v>46104</v>
      </c>
      <c r="B83" t="s">
        <v>13</v>
      </c>
      <c r="G83" s="1">
        <f t="shared" si="2"/>
        <v>0</v>
      </c>
      <c r="H83" s="2">
        <f t="shared" si="3"/>
        <v>0</v>
      </c>
    </row>
    <row r="84" spans="1:8" ht="15.75" customHeight="1" x14ac:dyDescent="0.2">
      <c r="A84" s="14">
        <v>46105</v>
      </c>
      <c r="B84" t="s">
        <v>14</v>
      </c>
      <c r="C84" s="3">
        <v>0.73611111111111116</v>
      </c>
      <c r="D84" s="3">
        <v>0.88541666666666663</v>
      </c>
      <c r="G84" s="1">
        <f t="shared" si="2"/>
        <v>0.14930555555555547</v>
      </c>
      <c r="H84" s="2">
        <f t="shared" si="3"/>
        <v>42.999999999999972</v>
      </c>
    </row>
    <row r="85" spans="1:8" ht="15.75" customHeight="1" x14ac:dyDescent="0.2">
      <c r="A85" s="14">
        <v>46106</v>
      </c>
      <c r="B85" t="s">
        <v>17</v>
      </c>
      <c r="C85" s="3">
        <v>0.72916666666666663</v>
      </c>
      <c r="D85" s="3">
        <v>0.88888888888888884</v>
      </c>
      <c r="G85" s="1">
        <f t="shared" si="2"/>
        <v>0.15972222222222221</v>
      </c>
      <c r="H85" s="2">
        <f t="shared" si="3"/>
        <v>46</v>
      </c>
    </row>
    <row r="86" spans="1:8" ht="15.75" customHeight="1" x14ac:dyDescent="0.2">
      <c r="A86" s="14">
        <v>46107</v>
      </c>
      <c r="B86" t="s">
        <v>9</v>
      </c>
      <c r="C86" s="3">
        <v>0.72013888888888888</v>
      </c>
      <c r="D86" s="3">
        <v>0.875</v>
      </c>
      <c r="G86" s="1">
        <f t="shared" si="2"/>
        <v>0.15486111111111112</v>
      </c>
      <c r="H86" s="2">
        <f t="shared" si="3"/>
        <v>44.6</v>
      </c>
    </row>
    <row r="87" spans="1:8" ht="15.75" customHeight="1" x14ac:dyDescent="0.2">
      <c r="A87" s="14">
        <v>46108</v>
      </c>
      <c r="B87" t="s">
        <v>10</v>
      </c>
      <c r="C87" s="3">
        <v>0.72569444444444442</v>
      </c>
      <c r="D87" s="3">
        <v>0.89930555555555558</v>
      </c>
      <c r="G87" s="1">
        <f t="shared" si="2"/>
        <v>0.17361111111111116</v>
      </c>
      <c r="H87" s="2">
        <f t="shared" si="3"/>
        <v>50.000000000000014</v>
      </c>
    </row>
    <row r="88" spans="1:8" ht="15.75" customHeight="1" x14ac:dyDescent="0.2">
      <c r="A88" s="14">
        <v>46109</v>
      </c>
      <c r="B88" t="s">
        <v>11</v>
      </c>
      <c r="C88" s="3">
        <v>0.36458333333333331</v>
      </c>
      <c r="D88" s="3">
        <v>0.5</v>
      </c>
      <c r="E88" s="3">
        <v>0.56736111111111109</v>
      </c>
      <c r="F88" s="3">
        <v>0.875</v>
      </c>
      <c r="G88" s="1">
        <f t="shared" si="2"/>
        <v>0.44305555555555559</v>
      </c>
      <c r="H88" s="2">
        <f t="shared" si="3"/>
        <v>127.60000000000002</v>
      </c>
    </row>
    <row r="89" spans="1:8" ht="15.75" customHeight="1" x14ac:dyDescent="0.2">
      <c r="A89" s="14">
        <v>46110</v>
      </c>
      <c r="B89" t="s">
        <v>12</v>
      </c>
      <c r="G89" s="1">
        <f t="shared" si="2"/>
        <v>0</v>
      </c>
      <c r="H89" s="2">
        <f t="shared" si="3"/>
        <v>0</v>
      </c>
    </row>
    <row r="90" spans="1:8" ht="15.75" customHeight="1" x14ac:dyDescent="0.2">
      <c r="A90" s="14">
        <v>46111</v>
      </c>
      <c r="B90" t="s">
        <v>13</v>
      </c>
      <c r="G90" s="1">
        <f t="shared" si="2"/>
        <v>0</v>
      </c>
      <c r="H90" s="2">
        <f t="shared" si="3"/>
        <v>0</v>
      </c>
    </row>
    <row r="91" spans="1:8" ht="15.75" customHeight="1" x14ac:dyDescent="0.2">
      <c r="A91" s="14">
        <v>46112</v>
      </c>
      <c r="B91" t="s">
        <v>14</v>
      </c>
      <c r="C91" s="3">
        <v>0.69097222222222221</v>
      </c>
      <c r="D91" s="3">
        <v>0.92013888888888884</v>
      </c>
      <c r="G91" s="1">
        <f t="shared" si="2"/>
        <v>0.22916666666666663</v>
      </c>
      <c r="H91" s="2">
        <f t="shared" si="3"/>
        <v>65.999999999999986</v>
      </c>
    </row>
    <row r="92" spans="1:8" ht="15.75" customHeight="1" x14ac:dyDescent="0.2">
      <c r="A92" s="14">
        <v>46113</v>
      </c>
      <c r="B92" t="s">
        <v>17</v>
      </c>
      <c r="C92" s="3">
        <v>0.71527777777777779</v>
      </c>
      <c r="D92" s="3">
        <v>0.875</v>
      </c>
      <c r="G92" s="1">
        <f t="shared" si="2"/>
        <v>0.15972222222222221</v>
      </c>
      <c r="H92" s="2">
        <f t="shared" si="3"/>
        <v>46</v>
      </c>
    </row>
    <row r="93" spans="1:8" ht="15.75" customHeight="1" x14ac:dyDescent="0.2">
      <c r="A93" s="14">
        <v>46114</v>
      </c>
      <c r="B93" t="s">
        <v>9</v>
      </c>
      <c r="C93" s="3">
        <v>0.72013888888888888</v>
      </c>
      <c r="D93" s="3">
        <v>0.88055555555555554</v>
      </c>
      <c r="G93" s="1">
        <f t="shared" si="2"/>
        <v>0.16041666666666665</v>
      </c>
      <c r="H93" s="2">
        <f t="shared" si="3"/>
        <v>46.199999999999996</v>
      </c>
    </row>
    <row r="94" spans="1:8" ht="15.75" customHeight="1" x14ac:dyDescent="0.2">
      <c r="A94" s="14">
        <v>46115</v>
      </c>
      <c r="B94" t="s">
        <v>10</v>
      </c>
      <c r="C94" s="3"/>
      <c r="D94" s="3"/>
      <c r="G94" s="1">
        <f t="shared" si="2"/>
        <v>0</v>
      </c>
      <c r="H94" s="2">
        <f t="shared" si="3"/>
        <v>0</v>
      </c>
    </row>
    <row r="95" spans="1:8" ht="15.75" customHeight="1" x14ac:dyDescent="0.2">
      <c r="A95" s="14">
        <v>46116</v>
      </c>
      <c r="B95" t="s">
        <v>11</v>
      </c>
      <c r="C95" s="3"/>
      <c r="D95" s="3"/>
      <c r="G95" s="1">
        <f t="shared" si="2"/>
        <v>0</v>
      </c>
      <c r="H95" s="2">
        <f t="shared" si="3"/>
        <v>0</v>
      </c>
    </row>
    <row r="96" spans="1:8" ht="15.75" customHeight="1" x14ac:dyDescent="0.2">
      <c r="A96" s="14">
        <v>46117</v>
      </c>
      <c r="B96" t="s">
        <v>12</v>
      </c>
      <c r="G96" s="1">
        <f t="shared" si="2"/>
        <v>0</v>
      </c>
      <c r="H96" s="2">
        <f t="shared" si="3"/>
        <v>0</v>
      </c>
    </row>
    <row r="97" spans="1:8" ht="15.75" customHeight="1" x14ac:dyDescent="0.2">
      <c r="A97" s="14">
        <v>46118</v>
      </c>
      <c r="B97" t="s">
        <v>13</v>
      </c>
      <c r="G97" s="1">
        <f t="shared" si="2"/>
        <v>0</v>
      </c>
      <c r="H97" s="2">
        <f t="shared" si="3"/>
        <v>0</v>
      </c>
    </row>
    <row r="98" spans="1:8" ht="15.75" customHeight="1" x14ac:dyDescent="0.2">
      <c r="A98" s="14">
        <v>46119</v>
      </c>
      <c r="B98" t="s">
        <v>14</v>
      </c>
      <c r="C98" s="3">
        <v>0.72499999999999998</v>
      </c>
      <c r="D98" s="3">
        <v>0.90277777777777779</v>
      </c>
      <c r="G98" s="1">
        <f t="shared" si="2"/>
        <v>0.17777777777777781</v>
      </c>
      <c r="H98" s="2">
        <f t="shared" si="3"/>
        <v>51.20000000000001</v>
      </c>
    </row>
    <row r="99" spans="1:8" ht="15.75" customHeight="1" x14ac:dyDescent="0.2">
      <c r="A99" s="14">
        <v>46120</v>
      </c>
      <c r="B99" t="s">
        <v>17</v>
      </c>
      <c r="C99" s="3">
        <v>0.71388888888888891</v>
      </c>
      <c r="D99" s="3">
        <v>0.875</v>
      </c>
      <c r="G99" s="1">
        <f t="shared" si="2"/>
        <v>0.16111111111111109</v>
      </c>
      <c r="H99" s="2">
        <f t="shared" si="3"/>
        <v>46.399999999999991</v>
      </c>
    </row>
    <row r="100" spans="1:8" x14ac:dyDescent="0.2">
      <c r="A100" s="14">
        <v>46121</v>
      </c>
      <c r="B100" t="s">
        <v>9</v>
      </c>
      <c r="C100" s="3">
        <v>0.72569444444444442</v>
      </c>
      <c r="D100" s="3">
        <v>0.9375</v>
      </c>
      <c r="G100" s="1">
        <f t="shared" si="2"/>
        <v>0.21180555555555558</v>
      </c>
      <c r="H100" s="2">
        <f t="shared" si="3"/>
        <v>61.000000000000007</v>
      </c>
    </row>
    <row r="101" spans="1:8" ht="15.75" customHeight="1" x14ac:dyDescent="0.2">
      <c r="A101" s="14">
        <v>46122</v>
      </c>
      <c r="B101" t="s">
        <v>10</v>
      </c>
      <c r="C101" s="3">
        <v>0.72152777777777777</v>
      </c>
      <c r="D101" s="3">
        <v>0.88194444444444442</v>
      </c>
      <c r="G101" s="1">
        <f t="shared" si="2"/>
        <v>0.16041666666666665</v>
      </c>
      <c r="H101" s="2">
        <f t="shared" si="3"/>
        <v>46.199999999999996</v>
      </c>
    </row>
    <row r="102" spans="1:8" ht="15.75" customHeight="1" x14ac:dyDescent="0.2">
      <c r="A102" s="14">
        <v>46123</v>
      </c>
      <c r="B102" t="s">
        <v>11</v>
      </c>
      <c r="C102" s="3">
        <v>0.36458333333333331</v>
      </c>
      <c r="D102" s="3">
        <v>0.5</v>
      </c>
      <c r="E102" s="3">
        <v>0.56944444444444442</v>
      </c>
      <c r="F102" s="3">
        <v>0.875</v>
      </c>
      <c r="G102" s="1">
        <f t="shared" si="2"/>
        <v>0.44097222222222227</v>
      </c>
      <c r="H102" s="2">
        <f t="shared" si="3"/>
        <v>127</v>
      </c>
    </row>
    <row r="103" spans="1:8" ht="15.75" customHeight="1" x14ac:dyDescent="0.2">
      <c r="A103" s="14">
        <v>46124</v>
      </c>
      <c r="B103" t="s">
        <v>12</v>
      </c>
      <c r="G103" s="1">
        <f t="shared" si="2"/>
        <v>0</v>
      </c>
      <c r="H103" s="2">
        <f t="shared" si="3"/>
        <v>0</v>
      </c>
    </row>
    <row r="104" spans="1:8" ht="15.75" customHeight="1" x14ac:dyDescent="0.2">
      <c r="A104" s="14">
        <v>46125</v>
      </c>
      <c r="B104" t="s">
        <v>13</v>
      </c>
      <c r="G104" s="1">
        <f t="shared" si="2"/>
        <v>0</v>
      </c>
      <c r="H104" s="2">
        <f t="shared" si="3"/>
        <v>0</v>
      </c>
    </row>
    <row r="105" spans="1:8" ht="15.75" customHeight="1" x14ac:dyDescent="0.2">
      <c r="A105" s="14">
        <v>46126</v>
      </c>
      <c r="B105" t="s">
        <v>14</v>
      </c>
      <c r="C105" s="3">
        <v>0.70833333333333337</v>
      </c>
      <c r="D105" s="3">
        <v>0.95138888888888884</v>
      </c>
      <c r="G105" s="1">
        <f t="shared" si="2"/>
        <v>0.24305555555555547</v>
      </c>
      <c r="H105" s="2">
        <f t="shared" si="3"/>
        <v>69.999999999999972</v>
      </c>
    </row>
    <row r="106" spans="1:8" ht="15.75" customHeight="1" x14ac:dyDescent="0.2">
      <c r="A106" s="14">
        <v>46127</v>
      </c>
      <c r="B106" t="s">
        <v>17</v>
      </c>
      <c r="C106" s="3">
        <v>0.72569444444444442</v>
      </c>
      <c r="D106" s="3">
        <v>0.875</v>
      </c>
      <c r="G106" s="1">
        <f t="shared" si="2"/>
        <v>0.14930555555555558</v>
      </c>
      <c r="H106" s="2">
        <f t="shared" si="3"/>
        <v>43.000000000000007</v>
      </c>
    </row>
    <row r="107" spans="1:8" ht="15.75" customHeight="1" x14ac:dyDescent="0.2">
      <c r="A107" s="14">
        <v>46128</v>
      </c>
      <c r="B107" t="s">
        <v>9</v>
      </c>
      <c r="C107" s="3">
        <v>0.72222222222222221</v>
      </c>
      <c r="D107" s="3">
        <v>0.875</v>
      </c>
      <c r="E107" s="3"/>
      <c r="F107" s="3"/>
      <c r="G107" s="1">
        <f t="shared" si="2"/>
        <v>0.15277777777777779</v>
      </c>
      <c r="H107" s="2">
        <f t="shared" si="3"/>
        <v>44</v>
      </c>
    </row>
    <row r="108" spans="1:8" ht="15.75" customHeight="1" x14ac:dyDescent="0.2">
      <c r="A108" s="14">
        <v>46129</v>
      </c>
      <c r="B108" t="s">
        <v>10</v>
      </c>
      <c r="C108" s="3">
        <v>0.73263888888888884</v>
      </c>
      <c r="D108" s="3">
        <v>0.88541666666666663</v>
      </c>
      <c r="G108" s="1">
        <f t="shared" si="2"/>
        <v>0.15277777777777779</v>
      </c>
      <c r="H108" s="2">
        <f t="shared" si="3"/>
        <v>44</v>
      </c>
    </row>
    <row r="109" spans="1:8" ht="15.75" customHeight="1" x14ac:dyDescent="0.2">
      <c r="A109" s="14">
        <v>46130</v>
      </c>
      <c r="B109" t="s">
        <v>11</v>
      </c>
      <c r="C109" s="3">
        <v>0.36805555555555558</v>
      </c>
      <c r="D109" s="3">
        <v>0.5</v>
      </c>
      <c r="E109" s="3">
        <v>0.56944444444444442</v>
      </c>
      <c r="F109" s="3">
        <v>0.875</v>
      </c>
      <c r="G109" s="1">
        <f t="shared" si="2"/>
        <v>0.4375</v>
      </c>
      <c r="H109" s="2">
        <f t="shared" si="3"/>
        <v>126</v>
      </c>
    </row>
    <row r="110" spans="1:8" ht="15.75" customHeight="1" x14ac:dyDescent="0.2">
      <c r="A110" s="14">
        <v>46131</v>
      </c>
      <c r="B110" t="s">
        <v>12</v>
      </c>
      <c r="G110" s="1">
        <f t="shared" si="2"/>
        <v>0</v>
      </c>
      <c r="H110" s="2">
        <f t="shared" si="3"/>
        <v>0</v>
      </c>
    </row>
    <row r="111" spans="1:8" ht="15.75" customHeight="1" x14ac:dyDescent="0.2">
      <c r="A111" s="14">
        <v>46132</v>
      </c>
      <c r="B111" t="s">
        <v>13</v>
      </c>
      <c r="G111" s="1">
        <f t="shared" si="2"/>
        <v>0</v>
      </c>
      <c r="H111" s="2">
        <f t="shared" si="3"/>
        <v>0</v>
      </c>
    </row>
    <row r="112" spans="1:8" ht="15.75" customHeight="1" x14ac:dyDescent="0.2">
      <c r="A112" s="14">
        <v>46133</v>
      </c>
      <c r="B112" t="s">
        <v>14</v>
      </c>
      <c r="G112" s="1">
        <f t="shared" si="2"/>
        <v>0</v>
      </c>
      <c r="H112" s="2">
        <f t="shared" si="3"/>
        <v>0</v>
      </c>
    </row>
    <row r="113" spans="1:8" ht="15.75" customHeight="1" x14ac:dyDescent="0.2">
      <c r="A113" s="14">
        <v>46134</v>
      </c>
      <c r="B113" t="s">
        <v>17</v>
      </c>
      <c r="C113" s="3">
        <v>0.72569444444444442</v>
      </c>
      <c r="D113" s="3">
        <v>0.90625</v>
      </c>
      <c r="G113" s="1">
        <f t="shared" si="2"/>
        <v>0.18055555555555558</v>
      </c>
      <c r="H113" s="2">
        <f t="shared" si="3"/>
        <v>52.000000000000007</v>
      </c>
    </row>
    <row r="114" spans="1:8" ht="15.75" customHeight="1" x14ac:dyDescent="0.2">
      <c r="A114" s="14">
        <v>46135</v>
      </c>
      <c r="B114" t="s">
        <v>9</v>
      </c>
      <c r="C114" s="3">
        <v>0.72916666666666663</v>
      </c>
      <c r="D114" s="3">
        <v>0.8833333333333333</v>
      </c>
      <c r="G114" s="1">
        <f t="shared" si="2"/>
        <v>0.15416666666666667</v>
      </c>
      <c r="H114" s="2">
        <f t="shared" si="3"/>
        <v>44.400000000000006</v>
      </c>
    </row>
    <row r="115" spans="1:8" ht="15.75" customHeight="1" x14ac:dyDescent="0.2">
      <c r="A115" s="14">
        <v>46136</v>
      </c>
      <c r="B115" t="s">
        <v>10</v>
      </c>
      <c r="C115" s="3">
        <v>0.73263888888888884</v>
      </c>
      <c r="D115" s="3">
        <v>0.92361111111111116</v>
      </c>
      <c r="G115" s="1">
        <f t="shared" si="2"/>
        <v>0.19097222222222232</v>
      </c>
      <c r="H115" s="2">
        <f t="shared" si="3"/>
        <v>55.000000000000028</v>
      </c>
    </row>
    <row r="116" spans="1:8" ht="15.75" customHeight="1" x14ac:dyDescent="0.2">
      <c r="A116" s="14">
        <v>46137</v>
      </c>
      <c r="B116" t="s">
        <v>11</v>
      </c>
      <c r="C116" s="3">
        <v>0.36805555555555558</v>
      </c>
      <c r="D116" s="3">
        <v>0.5</v>
      </c>
      <c r="E116" s="3">
        <v>0.56944444444444442</v>
      </c>
      <c r="F116" s="3">
        <v>0.875</v>
      </c>
      <c r="G116" s="1">
        <f t="shared" si="2"/>
        <v>0.4375</v>
      </c>
      <c r="H116" s="2">
        <f t="shared" si="3"/>
        <v>126</v>
      </c>
    </row>
    <row r="117" spans="1:8" ht="15.75" customHeight="1" x14ac:dyDescent="0.2">
      <c r="A117" s="14">
        <v>46138</v>
      </c>
      <c r="B117" t="s">
        <v>12</v>
      </c>
      <c r="G117" s="1">
        <f t="shared" si="2"/>
        <v>0</v>
      </c>
      <c r="H117" s="2">
        <f t="shared" si="3"/>
        <v>0</v>
      </c>
    </row>
    <row r="118" spans="1:8" ht="15.75" customHeight="1" x14ac:dyDescent="0.2">
      <c r="A118" s="14">
        <v>46139</v>
      </c>
      <c r="B118" t="s">
        <v>13</v>
      </c>
      <c r="G118" s="1">
        <f t="shared" si="2"/>
        <v>0</v>
      </c>
      <c r="H118" s="2">
        <f t="shared" si="3"/>
        <v>0</v>
      </c>
    </row>
    <row r="119" spans="1:8" ht="15.75" customHeight="1" x14ac:dyDescent="0.2">
      <c r="A119" s="14">
        <v>46140</v>
      </c>
      <c r="B119" t="s">
        <v>14</v>
      </c>
      <c r="C119" s="3">
        <v>0.70138888888888884</v>
      </c>
      <c r="D119" s="3">
        <v>0.92638888888888893</v>
      </c>
      <c r="G119" s="1">
        <f t="shared" si="2"/>
        <v>0.22500000000000009</v>
      </c>
      <c r="H119" s="2">
        <f t="shared" si="3"/>
        <v>64.800000000000026</v>
      </c>
    </row>
    <row r="120" spans="1:8" ht="15.75" customHeight="1" x14ac:dyDescent="0.2">
      <c r="A120" s="14">
        <v>46141</v>
      </c>
      <c r="B120" t="s">
        <v>17</v>
      </c>
      <c r="C120" s="3">
        <v>0.70486111111111116</v>
      </c>
      <c r="D120" s="3">
        <v>0.875</v>
      </c>
      <c r="E120" s="19"/>
      <c r="G120" s="1">
        <f t="shared" si="2"/>
        <v>0.17013888888888884</v>
      </c>
      <c r="H120" s="2">
        <f t="shared" si="3"/>
        <v>48.999999999999986</v>
      </c>
    </row>
    <row r="121" spans="1:8" ht="15.75" customHeight="1" x14ac:dyDescent="0.2">
      <c r="A121" s="14">
        <v>46142</v>
      </c>
      <c r="B121" t="s">
        <v>9</v>
      </c>
      <c r="C121" s="3">
        <v>0.72916666666666663</v>
      </c>
      <c r="D121" s="3">
        <v>0.90763888888888888</v>
      </c>
      <c r="E121" s="18"/>
      <c r="G121" s="1">
        <f t="shared" si="2"/>
        <v>0.17847222222222225</v>
      </c>
      <c r="H121" s="2">
        <f t="shared" si="3"/>
        <v>51.400000000000006</v>
      </c>
    </row>
    <row r="122" spans="1:8" ht="15.75" customHeight="1" x14ac:dyDescent="0.2">
      <c r="A122" s="14">
        <v>46143</v>
      </c>
      <c r="B122" t="s">
        <v>10</v>
      </c>
      <c r="G122" s="1">
        <f t="shared" si="2"/>
        <v>0</v>
      </c>
      <c r="H122" s="2">
        <f t="shared" si="3"/>
        <v>0</v>
      </c>
    </row>
    <row r="123" spans="1:8" ht="15.75" customHeight="1" x14ac:dyDescent="0.2">
      <c r="A123" s="14">
        <v>46144</v>
      </c>
      <c r="B123" t="s">
        <v>11</v>
      </c>
      <c r="C123" s="3">
        <v>0.36458333333333331</v>
      </c>
      <c r="D123" s="3">
        <v>0.61111111111111116</v>
      </c>
      <c r="E123" s="3">
        <v>0.64583333333333337</v>
      </c>
      <c r="F123" s="3">
        <v>0.73402777777777772</v>
      </c>
      <c r="G123" s="1">
        <f t="shared" si="2"/>
        <v>0.3347222222222222</v>
      </c>
      <c r="H123" s="2">
        <f t="shared" si="3"/>
        <v>96.4</v>
      </c>
    </row>
    <row r="124" spans="1:8" ht="15.75" customHeight="1" x14ac:dyDescent="0.2">
      <c r="A124" s="14">
        <v>46145</v>
      </c>
      <c r="B124" t="s">
        <v>12</v>
      </c>
      <c r="G124" s="1">
        <f t="shared" si="2"/>
        <v>0</v>
      </c>
      <c r="H124" s="2">
        <f t="shared" si="3"/>
        <v>0</v>
      </c>
    </row>
    <row r="125" spans="1:8" ht="15.75" customHeight="1" x14ac:dyDescent="0.2">
      <c r="A125" s="14">
        <v>46146</v>
      </c>
      <c r="B125" t="s">
        <v>13</v>
      </c>
      <c r="G125" s="1">
        <f t="shared" si="2"/>
        <v>0</v>
      </c>
      <c r="H125" s="2">
        <f t="shared" si="3"/>
        <v>0</v>
      </c>
    </row>
    <row r="126" spans="1:8" ht="15.75" customHeight="1" x14ac:dyDescent="0.2">
      <c r="A126" s="14">
        <v>46147</v>
      </c>
      <c r="B126" t="s">
        <v>14</v>
      </c>
      <c r="C126" s="3">
        <v>0.74305555555555558</v>
      </c>
      <c r="D126" s="3">
        <v>0.87847222222222221</v>
      </c>
      <c r="G126" s="1">
        <f t="shared" si="2"/>
        <v>0.13541666666666663</v>
      </c>
      <c r="H126" s="2">
        <f t="shared" si="3"/>
        <v>38.999999999999986</v>
      </c>
    </row>
    <row r="127" spans="1:8" ht="15.75" customHeight="1" x14ac:dyDescent="0.2">
      <c r="A127" s="14">
        <v>46148</v>
      </c>
      <c r="B127" t="s">
        <v>17</v>
      </c>
      <c r="C127" s="3">
        <v>0.74652777777777779</v>
      </c>
      <c r="D127" s="3">
        <v>0.875</v>
      </c>
      <c r="G127" s="1">
        <f t="shared" si="2"/>
        <v>0.12847222222222221</v>
      </c>
      <c r="H127" s="2">
        <f t="shared" si="3"/>
        <v>37</v>
      </c>
    </row>
    <row r="128" spans="1:8" ht="15.75" customHeight="1" x14ac:dyDescent="0.2">
      <c r="A128" s="14">
        <v>46149</v>
      </c>
      <c r="B128" t="s">
        <v>9</v>
      </c>
      <c r="C128" s="3">
        <v>0.73958333333333337</v>
      </c>
      <c r="D128" s="3">
        <v>0.875</v>
      </c>
      <c r="G128" s="1">
        <f t="shared" si="2"/>
        <v>0.13541666666666663</v>
      </c>
      <c r="H128" s="2">
        <f t="shared" si="3"/>
        <v>38.999999999999986</v>
      </c>
    </row>
    <row r="129" spans="1:10" ht="15.75" customHeight="1" x14ac:dyDescent="0.2">
      <c r="A129" s="14">
        <v>46150</v>
      </c>
      <c r="B129" t="s">
        <v>10</v>
      </c>
      <c r="G129" s="1">
        <f t="shared" si="2"/>
        <v>0</v>
      </c>
      <c r="H129" s="2">
        <f t="shared" si="3"/>
        <v>0</v>
      </c>
    </row>
    <row r="130" spans="1:10" ht="15.75" customHeight="1" x14ac:dyDescent="0.2">
      <c r="A130" s="14">
        <v>46151</v>
      </c>
      <c r="B130" t="s">
        <v>11</v>
      </c>
      <c r="G130" s="1">
        <f t="shared" ref="G130:G193" si="4">IF(AND(C130&lt;&gt;"",D130&lt;&gt;""),(D130-C130),0)+IF(AND(E130&lt;&gt;"",F130&lt;&gt;""),(F130-E130),0)</f>
        <v>0</v>
      </c>
      <c r="H130" s="2">
        <f t="shared" si="3"/>
        <v>0</v>
      </c>
    </row>
    <row r="131" spans="1:10" ht="15.75" customHeight="1" x14ac:dyDescent="0.2">
      <c r="A131" s="14">
        <v>46152</v>
      </c>
      <c r="B131" t="s">
        <v>12</v>
      </c>
      <c r="G131" s="1">
        <f t="shared" si="4"/>
        <v>0</v>
      </c>
      <c r="H131" s="2">
        <f t="shared" ref="H131:H194" si="5">(G131*24)*$I$2</f>
        <v>0</v>
      </c>
    </row>
    <row r="132" spans="1:10" ht="15.75" customHeight="1" x14ac:dyDescent="0.2">
      <c r="A132" s="14">
        <v>46153</v>
      </c>
      <c r="B132" t="s">
        <v>13</v>
      </c>
      <c r="G132" s="1">
        <f t="shared" si="4"/>
        <v>0</v>
      </c>
      <c r="H132" s="2">
        <f t="shared" si="5"/>
        <v>0</v>
      </c>
    </row>
    <row r="133" spans="1:10" ht="15.75" customHeight="1" x14ac:dyDescent="0.2">
      <c r="A133" s="14">
        <v>46154</v>
      </c>
      <c r="B133" t="s">
        <v>14</v>
      </c>
      <c r="C133" s="3">
        <v>0.72569444444444442</v>
      </c>
      <c r="D133" s="3">
        <v>0.95833333333333337</v>
      </c>
      <c r="G133" s="1">
        <f t="shared" si="4"/>
        <v>0.23263888888888895</v>
      </c>
      <c r="H133" s="2">
        <f t="shared" si="5"/>
        <v>67.000000000000014</v>
      </c>
    </row>
    <row r="134" spans="1:10" ht="15.75" customHeight="1" x14ac:dyDescent="0.2">
      <c r="A134" s="14">
        <v>46155</v>
      </c>
      <c r="B134" t="s">
        <v>17</v>
      </c>
      <c r="C134" s="3">
        <v>0.72569444444444442</v>
      </c>
      <c r="D134" s="3">
        <v>0.88194444444444442</v>
      </c>
      <c r="G134" s="1">
        <f t="shared" si="4"/>
        <v>0.15625</v>
      </c>
      <c r="H134" s="2">
        <f t="shared" si="5"/>
        <v>45</v>
      </c>
    </row>
    <row r="135" spans="1:10" ht="15.75" customHeight="1" x14ac:dyDescent="0.2">
      <c r="A135" s="14">
        <v>46156</v>
      </c>
      <c r="B135" t="s">
        <v>9</v>
      </c>
      <c r="C135" s="3">
        <v>0.72916666666666663</v>
      </c>
      <c r="D135" s="3">
        <v>0.875</v>
      </c>
      <c r="G135" s="1">
        <f t="shared" si="4"/>
        <v>0.14583333333333337</v>
      </c>
      <c r="H135" s="2">
        <f t="shared" si="5"/>
        <v>42.000000000000014</v>
      </c>
    </row>
    <row r="136" spans="1:10" ht="15.75" customHeight="1" x14ac:dyDescent="0.2">
      <c r="A136" s="14">
        <v>46157</v>
      </c>
      <c r="B136" t="s">
        <v>10</v>
      </c>
      <c r="C136" s="3">
        <v>0.72222222222222221</v>
      </c>
      <c r="D136" s="3">
        <v>0.88194444444444442</v>
      </c>
      <c r="G136" s="1">
        <f t="shared" si="4"/>
        <v>0.15972222222222221</v>
      </c>
      <c r="H136" s="2">
        <f t="shared" si="5"/>
        <v>46</v>
      </c>
    </row>
    <row r="137" spans="1:10" ht="15.75" customHeight="1" x14ac:dyDescent="0.2">
      <c r="A137" s="14">
        <v>46158</v>
      </c>
      <c r="B137" t="s">
        <v>11</v>
      </c>
      <c r="C137" s="3">
        <v>0.57291666666666663</v>
      </c>
      <c r="D137" s="3">
        <v>0.88541666666666663</v>
      </c>
      <c r="G137" s="1">
        <f t="shared" si="4"/>
        <v>0.3125</v>
      </c>
      <c r="H137" s="2">
        <f t="shared" si="5"/>
        <v>90</v>
      </c>
    </row>
    <row r="138" spans="1:10" ht="15.75" customHeight="1" x14ac:dyDescent="0.2">
      <c r="A138" s="14">
        <v>46159</v>
      </c>
      <c r="B138" t="s">
        <v>12</v>
      </c>
      <c r="G138" s="1">
        <f t="shared" si="4"/>
        <v>0</v>
      </c>
      <c r="H138" s="2">
        <f t="shared" si="5"/>
        <v>0</v>
      </c>
    </row>
    <row r="139" spans="1:10" ht="15.75" customHeight="1" x14ac:dyDescent="0.2">
      <c r="A139" s="14">
        <v>46160</v>
      </c>
      <c r="B139" t="s">
        <v>13</v>
      </c>
      <c r="G139" s="1">
        <f t="shared" si="4"/>
        <v>0</v>
      </c>
      <c r="H139" s="2">
        <f t="shared" si="5"/>
        <v>0</v>
      </c>
    </row>
    <row r="140" spans="1:10" ht="15.75" customHeight="1" x14ac:dyDescent="0.2">
      <c r="A140" s="14">
        <v>46161</v>
      </c>
      <c r="B140" t="s">
        <v>14</v>
      </c>
      <c r="C140" s="3">
        <v>0.73611111111111116</v>
      </c>
      <c r="D140" s="3">
        <v>0.875</v>
      </c>
      <c r="G140" s="1">
        <f t="shared" si="4"/>
        <v>0.13888888888888884</v>
      </c>
      <c r="H140" s="2">
        <f t="shared" si="5"/>
        <v>39.999999999999986</v>
      </c>
    </row>
    <row r="141" spans="1:10" ht="15.75" customHeight="1" x14ac:dyDescent="0.2">
      <c r="A141" s="14">
        <v>46162</v>
      </c>
      <c r="B141" t="s">
        <v>17</v>
      </c>
      <c r="C141" s="3">
        <v>0.71180555555555558</v>
      </c>
      <c r="D141" s="3">
        <v>0.91666666666666663</v>
      </c>
      <c r="G141" s="1">
        <f t="shared" si="4"/>
        <v>0.20486111111111105</v>
      </c>
      <c r="H141" s="2">
        <f t="shared" si="5"/>
        <v>58.999999999999986</v>
      </c>
    </row>
    <row r="142" spans="1:10" ht="15.75" customHeight="1" x14ac:dyDescent="0.2">
      <c r="A142" s="14">
        <v>46163</v>
      </c>
      <c r="B142" t="s">
        <v>9</v>
      </c>
      <c r="C142" s="3">
        <v>0.71527777777777779</v>
      </c>
      <c r="D142" s="3">
        <v>0.875</v>
      </c>
      <c r="G142" s="1">
        <f t="shared" si="4"/>
        <v>0.15972222222222221</v>
      </c>
      <c r="H142" s="2">
        <f t="shared" si="5"/>
        <v>46</v>
      </c>
      <c r="J142" t="s">
        <v>53</v>
      </c>
    </row>
    <row r="143" spans="1:10" ht="15.75" customHeight="1" x14ac:dyDescent="0.2">
      <c r="A143" s="14">
        <v>46164</v>
      </c>
      <c r="B143" t="s">
        <v>10</v>
      </c>
      <c r="C143" s="3">
        <v>0.71527777777777779</v>
      </c>
      <c r="D143" s="3">
        <v>0.90277777777777779</v>
      </c>
      <c r="G143" s="1">
        <f t="shared" si="4"/>
        <v>0.1875</v>
      </c>
      <c r="H143" s="2">
        <f t="shared" si="5"/>
        <v>54</v>
      </c>
    </row>
    <row r="144" spans="1:10" ht="15.75" customHeight="1" x14ac:dyDescent="0.2">
      <c r="A144" s="14">
        <v>46165</v>
      </c>
      <c r="B144" t="s">
        <v>11</v>
      </c>
      <c r="C144" s="3">
        <v>0.35972222222222222</v>
      </c>
      <c r="D144" s="3">
        <v>0.50694444444444442</v>
      </c>
      <c r="E144" s="3">
        <v>0.56944444444444442</v>
      </c>
      <c r="F144" s="3">
        <v>0.875</v>
      </c>
      <c r="G144" s="1">
        <f t="shared" si="4"/>
        <v>0.45277777777777778</v>
      </c>
      <c r="H144" s="2">
        <f t="shared" si="5"/>
        <v>130.4</v>
      </c>
    </row>
    <row r="145" spans="1:8" ht="15.75" customHeight="1" x14ac:dyDescent="0.2">
      <c r="A145" s="14">
        <v>46166</v>
      </c>
      <c r="B145" t="s">
        <v>12</v>
      </c>
      <c r="G145" s="1">
        <f t="shared" si="4"/>
        <v>0</v>
      </c>
      <c r="H145" s="2">
        <f t="shared" si="5"/>
        <v>0</v>
      </c>
    </row>
    <row r="146" spans="1:8" ht="15.75" customHeight="1" x14ac:dyDescent="0.2">
      <c r="A146" s="14">
        <v>46167</v>
      </c>
      <c r="B146" t="s">
        <v>13</v>
      </c>
      <c r="G146" s="1">
        <f t="shared" si="4"/>
        <v>0</v>
      </c>
      <c r="H146" s="2">
        <f t="shared" si="5"/>
        <v>0</v>
      </c>
    </row>
    <row r="147" spans="1:8" ht="15.75" customHeight="1" x14ac:dyDescent="0.2">
      <c r="A147" s="14">
        <v>46168</v>
      </c>
      <c r="B147" t="s">
        <v>14</v>
      </c>
      <c r="C147" s="3">
        <v>0.71180555555555558</v>
      </c>
      <c r="D147" s="3">
        <v>0.91666666666666663</v>
      </c>
      <c r="G147" s="1">
        <f t="shared" si="4"/>
        <v>0.20486111111111105</v>
      </c>
      <c r="H147" s="2">
        <f t="shared" si="5"/>
        <v>58.999999999999986</v>
      </c>
    </row>
    <row r="148" spans="1:8" ht="15.75" customHeight="1" x14ac:dyDescent="0.2">
      <c r="A148" s="14">
        <v>46169</v>
      </c>
      <c r="B148" t="s">
        <v>17</v>
      </c>
      <c r="C148" s="3">
        <v>0.71527777777777779</v>
      </c>
      <c r="D148" s="3">
        <v>0.875</v>
      </c>
      <c r="G148" s="1">
        <f t="shared" si="4"/>
        <v>0.15972222222222221</v>
      </c>
      <c r="H148" s="2">
        <f t="shared" si="5"/>
        <v>46</v>
      </c>
    </row>
    <row r="149" spans="1:8" ht="15.75" customHeight="1" x14ac:dyDescent="0.2">
      <c r="A149" s="14">
        <v>46170</v>
      </c>
      <c r="B149" t="s">
        <v>9</v>
      </c>
      <c r="C149" s="3">
        <v>0.72222222222222221</v>
      </c>
      <c r="D149" s="3">
        <v>0.875</v>
      </c>
      <c r="G149" s="1">
        <f t="shared" si="4"/>
        <v>0.15277777777777779</v>
      </c>
      <c r="H149" s="2">
        <f t="shared" si="5"/>
        <v>44</v>
      </c>
    </row>
    <row r="150" spans="1:8" ht="15.75" customHeight="1" x14ac:dyDescent="0.2">
      <c r="A150" s="14">
        <v>46171</v>
      </c>
      <c r="B150" t="s">
        <v>10</v>
      </c>
      <c r="C150" s="3">
        <v>0.71527777777777779</v>
      </c>
      <c r="D150" s="3">
        <v>0.88194444444444442</v>
      </c>
      <c r="G150" s="1">
        <f t="shared" si="4"/>
        <v>0.16666666666666663</v>
      </c>
      <c r="H150" s="2">
        <f t="shared" si="5"/>
        <v>47.999999999999986</v>
      </c>
    </row>
    <row r="151" spans="1:8" ht="15.75" customHeight="1" x14ac:dyDescent="0.2">
      <c r="A151" s="14">
        <v>46172</v>
      </c>
      <c r="B151" t="s">
        <v>11</v>
      </c>
      <c r="C151" s="3">
        <v>0.36458333333333331</v>
      </c>
      <c r="D151" s="3">
        <v>0.5</v>
      </c>
      <c r="E151" s="3">
        <v>0.56805555555555554</v>
      </c>
      <c r="F151" s="3">
        <v>0.875</v>
      </c>
      <c r="G151" s="1">
        <f t="shared" si="4"/>
        <v>0.44236111111111115</v>
      </c>
      <c r="H151" s="2">
        <f t="shared" si="5"/>
        <v>127.4</v>
      </c>
    </row>
    <row r="152" spans="1:8" ht="15.75" customHeight="1" x14ac:dyDescent="0.2">
      <c r="A152" s="14">
        <v>46173</v>
      </c>
      <c r="B152" t="s">
        <v>12</v>
      </c>
      <c r="G152" s="1">
        <f t="shared" si="4"/>
        <v>0</v>
      </c>
      <c r="H152" s="2">
        <f t="shared" si="5"/>
        <v>0</v>
      </c>
    </row>
    <row r="153" spans="1:8" ht="15.75" customHeight="1" x14ac:dyDescent="0.2">
      <c r="A153" s="14">
        <v>46174</v>
      </c>
      <c r="B153" t="s">
        <v>13</v>
      </c>
      <c r="G153" s="1">
        <f t="shared" si="4"/>
        <v>0</v>
      </c>
      <c r="H153" s="2">
        <f t="shared" si="5"/>
        <v>0</v>
      </c>
    </row>
    <row r="154" spans="1:8" ht="15.75" customHeight="1" x14ac:dyDescent="0.2">
      <c r="A154" s="14">
        <v>46175</v>
      </c>
      <c r="B154" t="s">
        <v>14</v>
      </c>
      <c r="G154" s="1">
        <f t="shared" si="4"/>
        <v>0</v>
      </c>
      <c r="H154" s="2">
        <f t="shared" si="5"/>
        <v>0</v>
      </c>
    </row>
    <row r="155" spans="1:8" ht="15.75" customHeight="1" x14ac:dyDescent="0.2">
      <c r="A155" s="14">
        <v>46176</v>
      </c>
      <c r="B155" t="s">
        <v>17</v>
      </c>
      <c r="G155" s="1">
        <f t="shared" si="4"/>
        <v>0</v>
      </c>
      <c r="H155" s="2">
        <f t="shared" si="5"/>
        <v>0</v>
      </c>
    </row>
    <row r="156" spans="1:8" ht="15.75" customHeight="1" x14ac:dyDescent="0.2">
      <c r="A156" s="14">
        <v>46177</v>
      </c>
      <c r="B156" t="s">
        <v>9</v>
      </c>
      <c r="G156" s="1">
        <f t="shared" si="4"/>
        <v>0</v>
      </c>
      <c r="H156" s="2">
        <f t="shared" si="5"/>
        <v>0</v>
      </c>
    </row>
    <row r="157" spans="1:8" ht="15.75" customHeight="1" x14ac:dyDescent="0.2">
      <c r="A157" s="14">
        <v>46178</v>
      </c>
      <c r="B157" t="s">
        <v>10</v>
      </c>
      <c r="G157" s="1">
        <f t="shared" si="4"/>
        <v>0</v>
      </c>
      <c r="H157" s="2">
        <f t="shared" si="5"/>
        <v>0</v>
      </c>
    </row>
    <row r="158" spans="1:8" ht="15.75" customHeight="1" x14ac:dyDescent="0.2">
      <c r="A158" s="14">
        <v>46179</v>
      </c>
      <c r="B158" t="s">
        <v>11</v>
      </c>
      <c r="G158" s="1">
        <f t="shared" si="4"/>
        <v>0</v>
      </c>
      <c r="H158" s="2">
        <f t="shared" si="5"/>
        <v>0</v>
      </c>
    </row>
    <row r="159" spans="1:8" ht="15.75" customHeight="1" x14ac:dyDescent="0.2">
      <c r="A159" s="14">
        <v>46180</v>
      </c>
      <c r="B159" t="s">
        <v>12</v>
      </c>
      <c r="G159" s="1">
        <f t="shared" si="4"/>
        <v>0</v>
      </c>
      <c r="H159" s="2">
        <f t="shared" si="5"/>
        <v>0</v>
      </c>
    </row>
    <row r="160" spans="1:8" ht="15.75" customHeight="1" x14ac:dyDescent="0.2">
      <c r="A160" s="14">
        <v>46181</v>
      </c>
      <c r="B160" t="s">
        <v>13</v>
      </c>
      <c r="G160" s="1">
        <f t="shared" si="4"/>
        <v>0</v>
      </c>
      <c r="H160" s="2">
        <f t="shared" si="5"/>
        <v>0</v>
      </c>
    </row>
    <row r="161" spans="1:8" ht="15.75" customHeight="1" x14ac:dyDescent="0.2">
      <c r="A161" s="14">
        <v>46182</v>
      </c>
      <c r="B161" t="s">
        <v>14</v>
      </c>
      <c r="G161" s="1">
        <f t="shared" si="4"/>
        <v>0</v>
      </c>
      <c r="H161" s="2">
        <f t="shared" si="5"/>
        <v>0</v>
      </c>
    </row>
    <row r="162" spans="1:8" ht="15.75" customHeight="1" x14ac:dyDescent="0.2">
      <c r="A162" s="14">
        <v>46183</v>
      </c>
      <c r="B162" t="s">
        <v>17</v>
      </c>
      <c r="G162" s="1">
        <f t="shared" si="4"/>
        <v>0</v>
      </c>
      <c r="H162" s="2">
        <f t="shared" si="5"/>
        <v>0</v>
      </c>
    </row>
    <row r="163" spans="1:8" ht="15.75" customHeight="1" x14ac:dyDescent="0.2">
      <c r="A163" s="14">
        <v>46184</v>
      </c>
      <c r="B163" t="s">
        <v>9</v>
      </c>
      <c r="G163" s="1">
        <f t="shared" si="4"/>
        <v>0</v>
      </c>
      <c r="H163" s="2">
        <f t="shared" si="5"/>
        <v>0</v>
      </c>
    </row>
    <row r="164" spans="1:8" ht="15.75" customHeight="1" x14ac:dyDescent="0.2">
      <c r="A164" s="14">
        <v>46185</v>
      </c>
      <c r="B164" t="s">
        <v>10</v>
      </c>
      <c r="G164" s="1">
        <f t="shared" si="4"/>
        <v>0</v>
      </c>
      <c r="H164" s="2">
        <f t="shared" si="5"/>
        <v>0</v>
      </c>
    </row>
    <row r="165" spans="1:8" ht="15.75" customHeight="1" x14ac:dyDescent="0.2">
      <c r="A165" s="14">
        <v>46186</v>
      </c>
      <c r="B165" t="s">
        <v>11</v>
      </c>
      <c r="G165" s="1">
        <f t="shared" si="4"/>
        <v>0</v>
      </c>
      <c r="H165" s="2">
        <f t="shared" si="5"/>
        <v>0</v>
      </c>
    </row>
    <row r="166" spans="1:8" ht="15.75" customHeight="1" x14ac:dyDescent="0.2">
      <c r="A166" s="14">
        <v>46187</v>
      </c>
      <c r="B166" t="s">
        <v>12</v>
      </c>
      <c r="G166" s="1">
        <f t="shared" si="4"/>
        <v>0</v>
      </c>
      <c r="H166" s="2">
        <f t="shared" si="5"/>
        <v>0</v>
      </c>
    </row>
    <row r="167" spans="1:8" ht="15.75" customHeight="1" x14ac:dyDescent="0.2">
      <c r="A167" s="14">
        <v>46188</v>
      </c>
      <c r="B167" t="s">
        <v>13</v>
      </c>
      <c r="G167" s="1">
        <f t="shared" si="4"/>
        <v>0</v>
      </c>
      <c r="H167" s="2">
        <f t="shared" si="5"/>
        <v>0</v>
      </c>
    </row>
    <row r="168" spans="1:8" ht="15.75" customHeight="1" x14ac:dyDescent="0.2">
      <c r="A168" s="14">
        <v>46189</v>
      </c>
      <c r="B168" t="s">
        <v>14</v>
      </c>
      <c r="G168" s="1">
        <f t="shared" si="4"/>
        <v>0</v>
      </c>
      <c r="H168" s="2">
        <f t="shared" si="5"/>
        <v>0</v>
      </c>
    </row>
    <row r="169" spans="1:8" ht="15.75" customHeight="1" x14ac:dyDescent="0.2">
      <c r="A169" s="14">
        <v>46190</v>
      </c>
      <c r="B169" t="s">
        <v>17</v>
      </c>
      <c r="G169" s="1">
        <f t="shared" si="4"/>
        <v>0</v>
      </c>
      <c r="H169" s="2">
        <f t="shared" si="5"/>
        <v>0</v>
      </c>
    </row>
    <row r="170" spans="1:8" ht="15.75" customHeight="1" x14ac:dyDescent="0.2">
      <c r="A170" s="14">
        <v>46191</v>
      </c>
      <c r="B170" t="s">
        <v>9</v>
      </c>
      <c r="G170" s="1">
        <f t="shared" si="4"/>
        <v>0</v>
      </c>
      <c r="H170" s="2">
        <f t="shared" si="5"/>
        <v>0</v>
      </c>
    </row>
    <row r="171" spans="1:8" ht="15.75" customHeight="1" x14ac:dyDescent="0.2">
      <c r="A171" s="14">
        <v>46192</v>
      </c>
      <c r="B171" t="s">
        <v>10</v>
      </c>
      <c r="G171" s="1">
        <f t="shared" si="4"/>
        <v>0</v>
      </c>
      <c r="H171" s="2">
        <f t="shared" si="5"/>
        <v>0</v>
      </c>
    </row>
    <row r="172" spans="1:8" ht="15.75" customHeight="1" x14ac:dyDescent="0.2">
      <c r="A172" s="14">
        <v>46193</v>
      </c>
      <c r="B172" t="s">
        <v>11</v>
      </c>
      <c r="G172" s="1">
        <f t="shared" si="4"/>
        <v>0</v>
      </c>
      <c r="H172" s="2">
        <f t="shared" si="5"/>
        <v>0</v>
      </c>
    </row>
    <row r="173" spans="1:8" ht="15.75" customHeight="1" x14ac:dyDescent="0.2">
      <c r="A173" s="14">
        <v>46194</v>
      </c>
      <c r="B173" t="s">
        <v>12</v>
      </c>
      <c r="G173" s="1">
        <f t="shared" si="4"/>
        <v>0</v>
      </c>
      <c r="H173" s="2">
        <f t="shared" si="5"/>
        <v>0</v>
      </c>
    </row>
    <row r="174" spans="1:8" ht="15.75" customHeight="1" x14ac:dyDescent="0.2">
      <c r="A174" s="14">
        <v>46195</v>
      </c>
      <c r="B174" t="s">
        <v>13</v>
      </c>
      <c r="G174" s="1">
        <f t="shared" si="4"/>
        <v>0</v>
      </c>
      <c r="H174" s="2">
        <f t="shared" si="5"/>
        <v>0</v>
      </c>
    </row>
    <row r="175" spans="1:8" ht="15.75" customHeight="1" x14ac:dyDescent="0.2">
      <c r="A175" s="14">
        <v>46196</v>
      </c>
      <c r="B175" t="s">
        <v>14</v>
      </c>
      <c r="G175" s="1">
        <f t="shared" si="4"/>
        <v>0</v>
      </c>
      <c r="H175" s="2">
        <f t="shared" si="5"/>
        <v>0</v>
      </c>
    </row>
    <row r="176" spans="1:8" ht="15.75" customHeight="1" x14ac:dyDescent="0.2">
      <c r="A176" s="14">
        <v>46197</v>
      </c>
      <c r="B176" t="s">
        <v>17</v>
      </c>
      <c r="G176" s="1">
        <f t="shared" si="4"/>
        <v>0</v>
      </c>
      <c r="H176" s="2">
        <f t="shared" si="5"/>
        <v>0</v>
      </c>
    </row>
    <row r="177" spans="1:8" ht="15.75" customHeight="1" x14ac:dyDescent="0.2">
      <c r="A177" s="14">
        <v>46198</v>
      </c>
      <c r="B177" t="s">
        <v>9</v>
      </c>
      <c r="G177" s="1">
        <f t="shared" si="4"/>
        <v>0</v>
      </c>
      <c r="H177" s="2">
        <f t="shared" si="5"/>
        <v>0</v>
      </c>
    </row>
    <row r="178" spans="1:8" ht="15.75" customHeight="1" x14ac:dyDescent="0.2">
      <c r="A178" s="14">
        <v>46199</v>
      </c>
      <c r="B178" t="s">
        <v>10</v>
      </c>
      <c r="G178" s="1">
        <f t="shared" si="4"/>
        <v>0</v>
      </c>
      <c r="H178" s="2">
        <f t="shared" si="5"/>
        <v>0</v>
      </c>
    </row>
    <row r="179" spans="1:8" ht="15.75" customHeight="1" x14ac:dyDescent="0.2">
      <c r="A179" s="14">
        <v>46200</v>
      </c>
      <c r="B179" t="s">
        <v>11</v>
      </c>
      <c r="G179" s="1">
        <f t="shared" si="4"/>
        <v>0</v>
      </c>
      <c r="H179" s="2">
        <f t="shared" si="5"/>
        <v>0</v>
      </c>
    </row>
    <row r="180" spans="1:8" ht="15.75" customHeight="1" x14ac:dyDescent="0.2">
      <c r="A180" s="14">
        <v>46201</v>
      </c>
      <c r="B180" t="s">
        <v>12</v>
      </c>
      <c r="G180" s="1">
        <f t="shared" si="4"/>
        <v>0</v>
      </c>
      <c r="H180" s="2">
        <f t="shared" si="5"/>
        <v>0</v>
      </c>
    </row>
    <row r="181" spans="1:8" ht="15.75" customHeight="1" x14ac:dyDescent="0.2">
      <c r="A181" s="14">
        <v>46202</v>
      </c>
      <c r="B181" t="s">
        <v>13</v>
      </c>
      <c r="G181" s="1">
        <f t="shared" si="4"/>
        <v>0</v>
      </c>
      <c r="H181" s="2">
        <f t="shared" si="5"/>
        <v>0</v>
      </c>
    </row>
    <row r="182" spans="1:8" ht="15.75" customHeight="1" x14ac:dyDescent="0.2">
      <c r="A182" s="14">
        <v>46203</v>
      </c>
      <c r="B182" t="s">
        <v>14</v>
      </c>
      <c r="G182" s="1">
        <f t="shared" si="4"/>
        <v>0</v>
      </c>
      <c r="H182" s="2">
        <f t="shared" si="5"/>
        <v>0</v>
      </c>
    </row>
    <row r="183" spans="1:8" ht="15.75" customHeight="1" x14ac:dyDescent="0.2">
      <c r="A183" s="14">
        <v>46204</v>
      </c>
      <c r="B183" t="s">
        <v>17</v>
      </c>
      <c r="G183" s="1">
        <f t="shared" si="4"/>
        <v>0</v>
      </c>
      <c r="H183" s="2">
        <f t="shared" si="5"/>
        <v>0</v>
      </c>
    </row>
    <row r="184" spans="1:8" ht="15.75" customHeight="1" x14ac:dyDescent="0.2">
      <c r="A184" s="14">
        <v>46205</v>
      </c>
      <c r="B184" t="s">
        <v>9</v>
      </c>
      <c r="G184" s="1">
        <f t="shared" si="4"/>
        <v>0</v>
      </c>
      <c r="H184" s="2">
        <f t="shared" si="5"/>
        <v>0</v>
      </c>
    </row>
    <row r="185" spans="1:8" ht="15.75" customHeight="1" x14ac:dyDescent="0.2">
      <c r="A185" s="14">
        <v>46206</v>
      </c>
      <c r="B185" t="s">
        <v>10</v>
      </c>
      <c r="G185" s="1">
        <f t="shared" si="4"/>
        <v>0</v>
      </c>
      <c r="H185" s="2">
        <f t="shared" si="5"/>
        <v>0</v>
      </c>
    </row>
    <row r="186" spans="1:8" ht="15.75" customHeight="1" x14ac:dyDescent="0.2">
      <c r="A186" s="14">
        <v>46207</v>
      </c>
      <c r="B186" t="s">
        <v>11</v>
      </c>
      <c r="G186" s="1">
        <f t="shared" si="4"/>
        <v>0</v>
      </c>
      <c r="H186" s="2">
        <f t="shared" si="5"/>
        <v>0</v>
      </c>
    </row>
    <row r="187" spans="1:8" ht="15.75" customHeight="1" x14ac:dyDescent="0.2">
      <c r="A187" s="14">
        <v>46208</v>
      </c>
      <c r="B187" t="s">
        <v>12</v>
      </c>
      <c r="G187" s="1">
        <f t="shared" si="4"/>
        <v>0</v>
      </c>
      <c r="H187" s="2">
        <f t="shared" si="5"/>
        <v>0</v>
      </c>
    </row>
    <row r="188" spans="1:8" ht="15.75" customHeight="1" x14ac:dyDescent="0.2">
      <c r="A188" s="14">
        <v>46209</v>
      </c>
      <c r="B188" t="s">
        <v>13</v>
      </c>
      <c r="G188" s="1">
        <f t="shared" si="4"/>
        <v>0</v>
      </c>
      <c r="H188" s="2">
        <f t="shared" si="5"/>
        <v>0</v>
      </c>
    </row>
    <row r="189" spans="1:8" ht="15.75" customHeight="1" x14ac:dyDescent="0.2">
      <c r="A189" s="14">
        <v>46210</v>
      </c>
      <c r="B189" t="s">
        <v>14</v>
      </c>
      <c r="G189" s="1">
        <f t="shared" si="4"/>
        <v>0</v>
      </c>
      <c r="H189" s="2">
        <f t="shared" si="5"/>
        <v>0</v>
      </c>
    </row>
    <row r="190" spans="1:8" ht="15.75" customHeight="1" x14ac:dyDescent="0.2">
      <c r="A190" s="14">
        <v>46211</v>
      </c>
      <c r="B190" t="s">
        <v>17</v>
      </c>
      <c r="G190" s="1">
        <f t="shared" si="4"/>
        <v>0</v>
      </c>
      <c r="H190" s="2">
        <f t="shared" si="5"/>
        <v>0</v>
      </c>
    </row>
    <row r="191" spans="1:8" ht="15.75" customHeight="1" x14ac:dyDescent="0.2">
      <c r="A191" s="14">
        <v>46212</v>
      </c>
      <c r="B191" t="s">
        <v>9</v>
      </c>
      <c r="G191" s="1">
        <f t="shared" si="4"/>
        <v>0</v>
      </c>
      <c r="H191" s="2">
        <f t="shared" si="5"/>
        <v>0</v>
      </c>
    </row>
    <row r="192" spans="1:8" ht="15.75" customHeight="1" x14ac:dyDescent="0.2">
      <c r="A192" s="14">
        <v>46213</v>
      </c>
      <c r="B192" t="s">
        <v>10</v>
      </c>
      <c r="G192" s="1">
        <f t="shared" si="4"/>
        <v>0</v>
      </c>
      <c r="H192" s="2">
        <f t="shared" si="5"/>
        <v>0</v>
      </c>
    </row>
    <row r="193" spans="1:8" ht="15.75" customHeight="1" x14ac:dyDescent="0.2">
      <c r="A193" s="14">
        <v>46214</v>
      </c>
      <c r="B193" t="s">
        <v>11</v>
      </c>
      <c r="G193" s="1">
        <f t="shared" si="4"/>
        <v>0</v>
      </c>
      <c r="H193" s="2">
        <f t="shared" si="5"/>
        <v>0</v>
      </c>
    </row>
    <row r="194" spans="1:8" ht="15.75" customHeight="1" x14ac:dyDescent="0.2">
      <c r="A194" s="14">
        <v>46215</v>
      </c>
      <c r="B194" t="s">
        <v>12</v>
      </c>
      <c r="G194" s="1">
        <f t="shared" ref="G194:G257" si="6">IF(AND(C194&lt;&gt;"",D194&lt;&gt;""),(D194-C194),0)+IF(AND(E194&lt;&gt;"",F194&lt;&gt;""),(F194-E194),0)</f>
        <v>0</v>
      </c>
      <c r="H194" s="2">
        <f t="shared" si="5"/>
        <v>0</v>
      </c>
    </row>
    <row r="195" spans="1:8" ht="15.75" customHeight="1" x14ac:dyDescent="0.2">
      <c r="A195" s="14">
        <v>46216</v>
      </c>
      <c r="B195" t="s">
        <v>13</v>
      </c>
      <c r="G195" s="1">
        <f t="shared" si="6"/>
        <v>0</v>
      </c>
      <c r="H195" s="2">
        <f t="shared" ref="H195:H258" si="7">(G195*24)*$I$2</f>
        <v>0</v>
      </c>
    </row>
    <row r="196" spans="1:8" ht="15.75" customHeight="1" x14ac:dyDescent="0.2">
      <c r="A196" s="14">
        <v>46217</v>
      </c>
      <c r="B196" t="s">
        <v>14</v>
      </c>
      <c r="G196" s="1">
        <f t="shared" si="6"/>
        <v>0</v>
      </c>
      <c r="H196" s="2">
        <f t="shared" si="7"/>
        <v>0</v>
      </c>
    </row>
    <row r="197" spans="1:8" ht="15.75" customHeight="1" x14ac:dyDescent="0.2">
      <c r="A197" s="14">
        <v>46218</v>
      </c>
      <c r="B197" t="s">
        <v>17</v>
      </c>
      <c r="G197" s="1">
        <f t="shared" si="6"/>
        <v>0</v>
      </c>
      <c r="H197" s="2">
        <f t="shared" si="7"/>
        <v>0</v>
      </c>
    </row>
    <row r="198" spans="1:8" ht="15.75" customHeight="1" x14ac:dyDescent="0.2">
      <c r="A198" s="14">
        <v>46219</v>
      </c>
      <c r="B198" t="s">
        <v>9</v>
      </c>
      <c r="G198" s="1">
        <f t="shared" si="6"/>
        <v>0</v>
      </c>
      <c r="H198" s="2">
        <f t="shared" si="7"/>
        <v>0</v>
      </c>
    </row>
    <row r="199" spans="1:8" ht="15.75" customHeight="1" x14ac:dyDescent="0.2">
      <c r="A199" s="14">
        <v>46220</v>
      </c>
      <c r="B199" t="s">
        <v>10</v>
      </c>
      <c r="G199" s="1">
        <f t="shared" si="6"/>
        <v>0</v>
      </c>
      <c r="H199" s="2">
        <f t="shared" si="7"/>
        <v>0</v>
      </c>
    </row>
    <row r="200" spans="1:8" ht="15.75" customHeight="1" x14ac:dyDescent="0.2">
      <c r="A200" s="14">
        <v>46221</v>
      </c>
      <c r="B200" t="s">
        <v>11</v>
      </c>
      <c r="G200" s="1">
        <f t="shared" si="6"/>
        <v>0</v>
      </c>
      <c r="H200" s="2">
        <f t="shared" si="7"/>
        <v>0</v>
      </c>
    </row>
    <row r="201" spans="1:8" ht="15.75" customHeight="1" x14ac:dyDescent="0.2">
      <c r="A201" s="14">
        <v>46222</v>
      </c>
      <c r="B201" t="s">
        <v>12</v>
      </c>
      <c r="G201" s="1">
        <f t="shared" si="6"/>
        <v>0</v>
      </c>
      <c r="H201" s="2">
        <f t="shared" si="7"/>
        <v>0</v>
      </c>
    </row>
    <row r="202" spans="1:8" ht="15.75" customHeight="1" x14ac:dyDescent="0.2">
      <c r="A202" s="14">
        <v>46223</v>
      </c>
      <c r="B202" t="s">
        <v>13</v>
      </c>
      <c r="G202" s="1">
        <f t="shared" si="6"/>
        <v>0</v>
      </c>
      <c r="H202" s="2">
        <f t="shared" si="7"/>
        <v>0</v>
      </c>
    </row>
    <row r="203" spans="1:8" ht="15.75" customHeight="1" x14ac:dyDescent="0.2">
      <c r="A203" s="14">
        <v>46224</v>
      </c>
      <c r="B203" t="s">
        <v>14</v>
      </c>
      <c r="G203" s="1">
        <f t="shared" si="6"/>
        <v>0</v>
      </c>
      <c r="H203" s="2">
        <f t="shared" si="7"/>
        <v>0</v>
      </c>
    </row>
    <row r="204" spans="1:8" ht="15.75" customHeight="1" x14ac:dyDescent="0.2">
      <c r="A204" s="14">
        <v>46225</v>
      </c>
      <c r="B204" t="s">
        <v>17</v>
      </c>
      <c r="G204" s="1">
        <f t="shared" si="6"/>
        <v>0</v>
      </c>
      <c r="H204" s="2">
        <f t="shared" si="7"/>
        <v>0</v>
      </c>
    </row>
    <row r="205" spans="1:8" ht="15.75" customHeight="1" x14ac:dyDescent="0.2">
      <c r="A205" s="14">
        <v>46226</v>
      </c>
      <c r="B205" t="s">
        <v>9</v>
      </c>
      <c r="G205" s="1">
        <f t="shared" si="6"/>
        <v>0</v>
      </c>
      <c r="H205" s="2">
        <f t="shared" si="7"/>
        <v>0</v>
      </c>
    </row>
    <row r="206" spans="1:8" ht="15.75" customHeight="1" x14ac:dyDescent="0.2">
      <c r="A206" s="14">
        <v>46227</v>
      </c>
      <c r="B206" t="s">
        <v>10</v>
      </c>
      <c r="G206" s="1">
        <f t="shared" si="6"/>
        <v>0</v>
      </c>
      <c r="H206" s="2">
        <f t="shared" si="7"/>
        <v>0</v>
      </c>
    </row>
    <row r="207" spans="1:8" ht="15.75" customHeight="1" x14ac:dyDescent="0.2">
      <c r="A207" s="14">
        <v>46228</v>
      </c>
      <c r="B207" t="s">
        <v>11</v>
      </c>
      <c r="G207" s="1">
        <f t="shared" si="6"/>
        <v>0</v>
      </c>
      <c r="H207" s="2">
        <f t="shared" si="7"/>
        <v>0</v>
      </c>
    </row>
    <row r="208" spans="1:8" ht="15.75" customHeight="1" x14ac:dyDescent="0.2">
      <c r="A208" s="14">
        <v>46229</v>
      </c>
      <c r="B208" t="s">
        <v>12</v>
      </c>
      <c r="G208" s="1">
        <f t="shared" si="6"/>
        <v>0</v>
      </c>
      <c r="H208" s="2">
        <f t="shared" si="7"/>
        <v>0</v>
      </c>
    </row>
    <row r="209" spans="1:8" ht="15.75" customHeight="1" x14ac:dyDescent="0.2">
      <c r="A209" s="14">
        <v>46230</v>
      </c>
      <c r="B209" t="s">
        <v>13</v>
      </c>
      <c r="G209" s="1">
        <f t="shared" si="6"/>
        <v>0</v>
      </c>
      <c r="H209" s="2">
        <f t="shared" si="7"/>
        <v>0</v>
      </c>
    </row>
    <row r="210" spans="1:8" ht="15.75" customHeight="1" x14ac:dyDescent="0.2">
      <c r="A210" s="14">
        <v>46231</v>
      </c>
      <c r="B210" t="s">
        <v>14</v>
      </c>
      <c r="G210" s="1">
        <f t="shared" si="6"/>
        <v>0</v>
      </c>
      <c r="H210" s="2">
        <f t="shared" si="7"/>
        <v>0</v>
      </c>
    </row>
    <row r="211" spans="1:8" ht="15.75" customHeight="1" x14ac:dyDescent="0.2">
      <c r="A211" s="14">
        <v>46232</v>
      </c>
      <c r="B211" t="s">
        <v>17</v>
      </c>
      <c r="G211" s="1">
        <f t="shared" si="6"/>
        <v>0</v>
      </c>
      <c r="H211" s="2">
        <f t="shared" si="7"/>
        <v>0</v>
      </c>
    </row>
    <row r="212" spans="1:8" ht="15.75" customHeight="1" x14ac:dyDescent="0.2">
      <c r="A212" s="14">
        <v>46233</v>
      </c>
      <c r="B212" t="s">
        <v>9</v>
      </c>
      <c r="G212" s="1">
        <f t="shared" si="6"/>
        <v>0</v>
      </c>
      <c r="H212" s="2">
        <f t="shared" si="7"/>
        <v>0</v>
      </c>
    </row>
    <row r="213" spans="1:8" ht="15.75" customHeight="1" x14ac:dyDescent="0.2">
      <c r="A213" s="14">
        <v>46234</v>
      </c>
      <c r="B213" t="s">
        <v>10</v>
      </c>
      <c r="G213" s="1">
        <f t="shared" si="6"/>
        <v>0</v>
      </c>
      <c r="H213" s="2">
        <f t="shared" si="7"/>
        <v>0</v>
      </c>
    </row>
    <row r="214" spans="1:8" ht="15.75" customHeight="1" x14ac:dyDescent="0.2">
      <c r="A214" s="14">
        <v>46235</v>
      </c>
      <c r="B214" t="s">
        <v>11</v>
      </c>
      <c r="G214" s="1">
        <f t="shared" si="6"/>
        <v>0</v>
      </c>
      <c r="H214" s="2">
        <f t="shared" si="7"/>
        <v>0</v>
      </c>
    </row>
    <row r="215" spans="1:8" ht="15.75" customHeight="1" x14ac:dyDescent="0.2">
      <c r="A215" s="14">
        <v>46236</v>
      </c>
      <c r="B215" t="s">
        <v>12</v>
      </c>
      <c r="G215" s="1">
        <f t="shared" si="6"/>
        <v>0</v>
      </c>
      <c r="H215" s="2">
        <f t="shared" si="7"/>
        <v>0</v>
      </c>
    </row>
    <row r="216" spans="1:8" ht="15.75" customHeight="1" x14ac:dyDescent="0.2">
      <c r="A216" s="14">
        <v>46237</v>
      </c>
      <c r="B216" t="s">
        <v>13</v>
      </c>
      <c r="G216" s="1">
        <f t="shared" si="6"/>
        <v>0</v>
      </c>
      <c r="H216" s="2">
        <f t="shared" si="7"/>
        <v>0</v>
      </c>
    </row>
    <row r="217" spans="1:8" ht="15.75" customHeight="1" x14ac:dyDescent="0.2">
      <c r="A217" s="14">
        <v>46238</v>
      </c>
      <c r="B217" t="s">
        <v>14</v>
      </c>
      <c r="G217" s="1">
        <f t="shared" si="6"/>
        <v>0</v>
      </c>
      <c r="H217" s="2">
        <f t="shared" si="7"/>
        <v>0</v>
      </c>
    </row>
    <row r="218" spans="1:8" ht="15.75" customHeight="1" x14ac:dyDescent="0.2">
      <c r="A218" s="14">
        <v>46239</v>
      </c>
      <c r="B218" t="s">
        <v>17</v>
      </c>
      <c r="G218" s="1">
        <f t="shared" si="6"/>
        <v>0</v>
      </c>
      <c r="H218" s="2">
        <f t="shared" si="7"/>
        <v>0</v>
      </c>
    </row>
    <row r="219" spans="1:8" ht="15.75" customHeight="1" x14ac:dyDescent="0.2">
      <c r="A219" s="14">
        <v>46240</v>
      </c>
      <c r="B219" t="s">
        <v>9</v>
      </c>
      <c r="G219" s="1">
        <f t="shared" si="6"/>
        <v>0</v>
      </c>
      <c r="H219" s="2">
        <f t="shared" si="7"/>
        <v>0</v>
      </c>
    </row>
    <row r="220" spans="1:8" ht="15.75" customHeight="1" x14ac:dyDescent="0.2">
      <c r="A220" s="14">
        <v>46241</v>
      </c>
      <c r="B220" t="s">
        <v>10</v>
      </c>
      <c r="G220" s="1">
        <f t="shared" si="6"/>
        <v>0</v>
      </c>
      <c r="H220" s="2">
        <f t="shared" si="7"/>
        <v>0</v>
      </c>
    </row>
    <row r="221" spans="1:8" ht="15.75" customHeight="1" x14ac:dyDescent="0.2">
      <c r="A221" s="14">
        <v>46242</v>
      </c>
      <c r="B221" t="s">
        <v>11</v>
      </c>
      <c r="G221" s="1">
        <f t="shared" si="6"/>
        <v>0</v>
      </c>
      <c r="H221" s="2">
        <f t="shared" si="7"/>
        <v>0</v>
      </c>
    </row>
    <row r="222" spans="1:8" ht="15.75" customHeight="1" x14ac:dyDescent="0.2">
      <c r="A222" s="14">
        <v>46243</v>
      </c>
      <c r="B222" t="s">
        <v>12</v>
      </c>
      <c r="G222" s="1">
        <f t="shared" si="6"/>
        <v>0</v>
      </c>
      <c r="H222" s="2">
        <f t="shared" si="7"/>
        <v>0</v>
      </c>
    </row>
    <row r="223" spans="1:8" ht="15.75" customHeight="1" x14ac:dyDescent="0.2">
      <c r="A223" s="14">
        <v>46244</v>
      </c>
      <c r="B223" t="s">
        <v>13</v>
      </c>
      <c r="G223" s="1">
        <f t="shared" si="6"/>
        <v>0</v>
      </c>
      <c r="H223" s="2">
        <f t="shared" si="7"/>
        <v>0</v>
      </c>
    </row>
    <row r="224" spans="1:8" ht="15.75" customHeight="1" x14ac:dyDescent="0.2">
      <c r="A224" s="14">
        <v>46245</v>
      </c>
      <c r="B224" t="s">
        <v>14</v>
      </c>
      <c r="G224" s="1">
        <f t="shared" si="6"/>
        <v>0</v>
      </c>
      <c r="H224" s="2">
        <f t="shared" si="7"/>
        <v>0</v>
      </c>
    </row>
    <row r="225" spans="1:8" ht="15.75" customHeight="1" x14ac:dyDescent="0.2">
      <c r="A225" s="14">
        <v>46246</v>
      </c>
      <c r="B225" t="s">
        <v>17</v>
      </c>
      <c r="G225" s="1">
        <f t="shared" si="6"/>
        <v>0</v>
      </c>
      <c r="H225" s="2">
        <f t="shared" si="7"/>
        <v>0</v>
      </c>
    </row>
    <row r="226" spans="1:8" ht="15.75" customHeight="1" x14ac:dyDescent="0.2">
      <c r="A226" s="14">
        <v>46247</v>
      </c>
      <c r="B226" t="s">
        <v>9</v>
      </c>
      <c r="G226" s="1">
        <f t="shared" si="6"/>
        <v>0</v>
      </c>
      <c r="H226" s="2">
        <f t="shared" si="7"/>
        <v>0</v>
      </c>
    </row>
    <row r="227" spans="1:8" ht="15.75" customHeight="1" x14ac:dyDescent="0.2">
      <c r="A227" s="14">
        <v>46248</v>
      </c>
      <c r="B227" t="s">
        <v>10</v>
      </c>
      <c r="G227" s="1">
        <f t="shared" si="6"/>
        <v>0</v>
      </c>
      <c r="H227" s="2">
        <f t="shared" si="7"/>
        <v>0</v>
      </c>
    </row>
    <row r="228" spans="1:8" ht="15.75" customHeight="1" x14ac:dyDescent="0.2">
      <c r="A228" s="14">
        <v>46249</v>
      </c>
      <c r="B228" t="s">
        <v>11</v>
      </c>
      <c r="G228" s="1">
        <f t="shared" si="6"/>
        <v>0</v>
      </c>
      <c r="H228" s="2">
        <f t="shared" si="7"/>
        <v>0</v>
      </c>
    </row>
    <row r="229" spans="1:8" ht="15.75" customHeight="1" x14ac:dyDescent="0.2">
      <c r="A229" s="14">
        <v>46250</v>
      </c>
      <c r="B229" t="s">
        <v>12</v>
      </c>
      <c r="G229" s="1">
        <f t="shared" si="6"/>
        <v>0</v>
      </c>
      <c r="H229" s="2">
        <f t="shared" si="7"/>
        <v>0</v>
      </c>
    </row>
    <row r="230" spans="1:8" ht="15.75" customHeight="1" x14ac:dyDescent="0.2">
      <c r="A230" s="14">
        <v>46251</v>
      </c>
      <c r="B230" t="s">
        <v>13</v>
      </c>
      <c r="G230" s="1">
        <f t="shared" si="6"/>
        <v>0</v>
      </c>
      <c r="H230" s="2">
        <f t="shared" si="7"/>
        <v>0</v>
      </c>
    </row>
    <row r="231" spans="1:8" ht="15.75" customHeight="1" x14ac:dyDescent="0.2">
      <c r="A231" s="14">
        <v>46252</v>
      </c>
      <c r="B231" t="s">
        <v>14</v>
      </c>
      <c r="G231" s="1">
        <f t="shared" si="6"/>
        <v>0</v>
      </c>
      <c r="H231" s="2">
        <f t="shared" si="7"/>
        <v>0</v>
      </c>
    </row>
    <row r="232" spans="1:8" ht="15.75" customHeight="1" x14ac:dyDescent="0.2">
      <c r="A232" s="14">
        <v>46253</v>
      </c>
      <c r="B232" t="s">
        <v>17</v>
      </c>
      <c r="G232" s="1">
        <f t="shared" si="6"/>
        <v>0</v>
      </c>
      <c r="H232" s="2">
        <f t="shared" si="7"/>
        <v>0</v>
      </c>
    </row>
    <row r="233" spans="1:8" ht="15.75" customHeight="1" x14ac:dyDescent="0.2">
      <c r="A233" s="14">
        <v>46254</v>
      </c>
      <c r="B233" t="s">
        <v>9</v>
      </c>
      <c r="G233" s="1">
        <f t="shared" si="6"/>
        <v>0</v>
      </c>
      <c r="H233" s="2">
        <f t="shared" si="7"/>
        <v>0</v>
      </c>
    </row>
    <row r="234" spans="1:8" ht="15.75" customHeight="1" x14ac:dyDescent="0.2">
      <c r="A234" s="14">
        <v>46255</v>
      </c>
      <c r="B234" t="s">
        <v>10</v>
      </c>
      <c r="G234" s="1">
        <f t="shared" si="6"/>
        <v>0</v>
      </c>
      <c r="H234" s="2">
        <f t="shared" si="7"/>
        <v>0</v>
      </c>
    </row>
    <row r="235" spans="1:8" ht="15.75" customHeight="1" x14ac:dyDescent="0.2">
      <c r="A235" s="14">
        <v>46256</v>
      </c>
      <c r="B235" t="s">
        <v>11</v>
      </c>
      <c r="G235" s="1">
        <f t="shared" si="6"/>
        <v>0</v>
      </c>
      <c r="H235" s="2">
        <f t="shared" si="7"/>
        <v>0</v>
      </c>
    </row>
    <row r="236" spans="1:8" ht="15.75" customHeight="1" x14ac:dyDescent="0.2">
      <c r="A236" s="14">
        <v>46257</v>
      </c>
      <c r="B236" t="s">
        <v>12</v>
      </c>
      <c r="G236" s="1">
        <f t="shared" si="6"/>
        <v>0</v>
      </c>
      <c r="H236" s="2">
        <f t="shared" si="7"/>
        <v>0</v>
      </c>
    </row>
    <row r="237" spans="1:8" ht="15.75" customHeight="1" x14ac:dyDescent="0.2">
      <c r="A237" s="14">
        <v>46258</v>
      </c>
      <c r="B237" t="s">
        <v>13</v>
      </c>
      <c r="G237" s="1">
        <f t="shared" si="6"/>
        <v>0</v>
      </c>
      <c r="H237" s="2">
        <f t="shared" si="7"/>
        <v>0</v>
      </c>
    </row>
    <row r="238" spans="1:8" ht="15.75" customHeight="1" x14ac:dyDescent="0.2">
      <c r="A238" s="14">
        <v>46259</v>
      </c>
      <c r="B238" t="s">
        <v>14</v>
      </c>
      <c r="G238" s="1">
        <f t="shared" si="6"/>
        <v>0</v>
      </c>
      <c r="H238" s="2">
        <f t="shared" si="7"/>
        <v>0</v>
      </c>
    </row>
    <row r="239" spans="1:8" ht="15.75" customHeight="1" x14ac:dyDescent="0.2">
      <c r="A239" s="14">
        <v>46260</v>
      </c>
      <c r="B239" t="s">
        <v>17</v>
      </c>
      <c r="G239" s="1">
        <f t="shared" si="6"/>
        <v>0</v>
      </c>
      <c r="H239" s="2">
        <f t="shared" si="7"/>
        <v>0</v>
      </c>
    </row>
    <row r="240" spans="1:8" ht="15.75" customHeight="1" x14ac:dyDescent="0.2">
      <c r="A240" s="14">
        <v>46261</v>
      </c>
      <c r="B240" t="s">
        <v>9</v>
      </c>
      <c r="G240" s="1">
        <f t="shared" si="6"/>
        <v>0</v>
      </c>
      <c r="H240" s="2">
        <f t="shared" si="7"/>
        <v>0</v>
      </c>
    </row>
    <row r="241" spans="1:8" ht="15.75" customHeight="1" x14ac:dyDescent="0.2">
      <c r="A241" s="14">
        <v>46262</v>
      </c>
      <c r="B241" t="s">
        <v>10</v>
      </c>
      <c r="G241" s="1">
        <f t="shared" si="6"/>
        <v>0</v>
      </c>
      <c r="H241" s="2">
        <f t="shared" si="7"/>
        <v>0</v>
      </c>
    </row>
    <row r="242" spans="1:8" ht="15.75" customHeight="1" x14ac:dyDescent="0.2">
      <c r="A242" s="14">
        <v>46263</v>
      </c>
      <c r="B242" t="s">
        <v>11</v>
      </c>
      <c r="G242" s="1">
        <f t="shared" si="6"/>
        <v>0</v>
      </c>
      <c r="H242" s="2">
        <f t="shared" si="7"/>
        <v>0</v>
      </c>
    </row>
    <row r="243" spans="1:8" ht="15.75" customHeight="1" x14ac:dyDescent="0.2">
      <c r="A243" s="14">
        <v>46264</v>
      </c>
      <c r="B243" t="s">
        <v>12</v>
      </c>
      <c r="G243" s="1">
        <f t="shared" si="6"/>
        <v>0</v>
      </c>
      <c r="H243" s="2">
        <f t="shared" si="7"/>
        <v>0</v>
      </c>
    </row>
    <row r="244" spans="1:8" ht="15.75" customHeight="1" x14ac:dyDescent="0.2">
      <c r="A244" s="14">
        <v>46265</v>
      </c>
      <c r="B244" t="s">
        <v>13</v>
      </c>
      <c r="G244" s="1">
        <f t="shared" si="6"/>
        <v>0</v>
      </c>
      <c r="H244" s="2">
        <f t="shared" si="7"/>
        <v>0</v>
      </c>
    </row>
    <row r="245" spans="1:8" ht="15.75" customHeight="1" x14ac:dyDescent="0.2">
      <c r="A245" s="14">
        <v>46266</v>
      </c>
      <c r="B245" t="s">
        <v>14</v>
      </c>
      <c r="G245" s="1">
        <f t="shared" si="6"/>
        <v>0</v>
      </c>
      <c r="H245" s="2">
        <f t="shared" si="7"/>
        <v>0</v>
      </c>
    </row>
    <row r="246" spans="1:8" ht="15.75" customHeight="1" x14ac:dyDescent="0.2">
      <c r="A246" s="14">
        <v>46267</v>
      </c>
      <c r="B246" t="s">
        <v>17</v>
      </c>
      <c r="G246" s="1">
        <f t="shared" si="6"/>
        <v>0</v>
      </c>
      <c r="H246" s="2">
        <f t="shared" si="7"/>
        <v>0</v>
      </c>
    </row>
    <row r="247" spans="1:8" ht="15.75" customHeight="1" x14ac:dyDescent="0.2">
      <c r="A247" s="14">
        <v>46268</v>
      </c>
      <c r="B247" t="s">
        <v>9</v>
      </c>
      <c r="G247" s="1">
        <f t="shared" si="6"/>
        <v>0</v>
      </c>
      <c r="H247" s="2">
        <f t="shared" si="7"/>
        <v>0</v>
      </c>
    </row>
    <row r="248" spans="1:8" ht="15.75" customHeight="1" x14ac:dyDescent="0.2">
      <c r="A248" s="14">
        <v>46269</v>
      </c>
      <c r="B248" t="s">
        <v>10</v>
      </c>
      <c r="G248" s="1">
        <f t="shared" si="6"/>
        <v>0</v>
      </c>
      <c r="H248" s="2">
        <f t="shared" si="7"/>
        <v>0</v>
      </c>
    </row>
    <row r="249" spans="1:8" ht="15.75" customHeight="1" x14ac:dyDescent="0.2">
      <c r="A249" s="14">
        <v>46270</v>
      </c>
      <c r="B249" t="s">
        <v>11</v>
      </c>
      <c r="G249" s="1">
        <f t="shared" si="6"/>
        <v>0</v>
      </c>
      <c r="H249" s="2">
        <f t="shared" si="7"/>
        <v>0</v>
      </c>
    </row>
    <row r="250" spans="1:8" ht="15.75" customHeight="1" x14ac:dyDescent="0.2">
      <c r="A250" s="14">
        <v>46271</v>
      </c>
      <c r="B250" t="s">
        <v>12</v>
      </c>
      <c r="G250" s="1">
        <f t="shared" si="6"/>
        <v>0</v>
      </c>
      <c r="H250" s="2">
        <f t="shared" si="7"/>
        <v>0</v>
      </c>
    </row>
    <row r="251" spans="1:8" ht="15.75" customHeight="1" x14ac:dyDescent="0.2">
      <c r="A251" s="14">
        <v>46272</v>
      </c>
      <c r="B251" t="s">
        <v>13</v>
      </c>
      <c r="G251" s="1">
        <f t="shared" si="6"/>
        <v>0</v>
      </c>
      <c r="H251" s="2">
        <f t="shared" si="7"/>
        <v>0</v>
      </c>
    </row>
    <row r="252" spans="1:8" ht="15.75" customHeight="1" x14ac:dyDescent="0.2">
      <c r="A252" s="14">
        <v>46273</v>
      </c>
      <c r="B252" t="s">
        <v>14</v>
      </c>
      <c r="G252" s="1">
        <f t="shared" si="6"/>
        <v>0</v>
      </c>
      <c r="H252" s="2">
        <f t="shared" si="7"/>
        <v>0</v>
      </c>
    </row>
    <row r="253" spans="1:8" ht="15.75" customHeight="1" x14ac:dyDescent="0.2">
      <c r="A253" s="14">
        <v>46274</v>
      </c>
      <c r="B253" t="s">
        <v>17</v>
      </c>
      <c r="G253" s="1">
        <f t="shared" si="6"/>
        <v>0</v>
      </c>
      <c r="H253" s="2">
        <f t="shared" si="7"/>
        <v>0</v>
      </c>
    </row>
    <row r="254" spans="1:8" ht="15.75" customHeight="1" x14ac:dyDescent="0.2">
      <c r="A254" s="14">
        <v>46275</v>
      </c>
      <c r="B254" t="s">
        <v>9</v>
      </c>
      <c r="G254" s="1">
        <f t="shared" si="6"/>
        <v>0</v>
      </c>
      <c r="H254" s="2">
        <f t="shared" si="7"/>
        <v>0</v>
      </c>
    </row>
    <row r="255" spans="1:8" ht="15.75" customHeight="1" x14ac:dyDescent="0.2">
      <c r="A255" s="14">
        <v>46276</v>
      </c>
      <c r="B255" t="s">
        <v>10</v>
      </c>
      <c r="G255" s="1">
        <f t="shared" si="6"/>
        <v>0</v>
      </c>
      <c r="H255" s="2">
        <f t="shared" si="7"/>
        <v>0</v>
      </c>
    </row>
    <row r="256" spans="1:8" ht="15.75" customHeight="1" x14ac:dyDescent="0.2">
      <c r="A256" s="14">
        <v>46277</v>
      </c>
      <c r="B256" t="s">
        <v>11</v>
      </c>
      <c r="G256" s="1">
        <f t="shared" si="6"/>
        <v>0</v>
      </c>
      <c r="H256" s="2">
        <f t="shared" si="7"/>
        <v>0</v>
      </c>
    </row>
    <row r="257" spans="1:8" ht="15.75" customHeight="1" x14ac:dyDescent="0.2">
      <c r="A257" s="14">
        <v>46278</v>
      </c>
      <c r="B257" t="s">
        <v>12</v>
      </c>
      <c r="G257" s="1">
        <f t="shared" si="6"/>
        <v>0</v>
      </c>
      <c r="H257" s="2">
        <f t="shared" si="7"/>
        <v>0</v>
      </c>
    </row>
    <row r="258" spans="1:8" ht="15.75" customHeight="1" x14ac:dyDescent="0.2">
      <c r="A258" s="14">
        <v>46279</v>
      </c>
      <c r="B258" t="s">
        <v>13</v>
      </c>
      <c r="G258" s="1">
        <f t="shared" ref="G258:G321" si="8">IF(AND(C258&lt;&gt;"",D258&lt;&gt;""),(D258-C258),0)+IF(AND(E258&lt;&gt;"",F258&lt;&gt;""),(F258-E258),0)</f>
        <v>0</v>
      </c>
      <c r="H258" s="2">
        <f t="shared" si="7"/>
        <v>0</v>
      </c>
    </row>
    <row r="259" spans="1:8" ht="15.75" customHeight="1" x14ac:dyDescent="0.2">
      <c r="A259" s="14">
        <v>46280</v>
      </c>
      <c r="B259" t="s">
        <v>14</v>
      </c>
      <c r="G259" s="1">
        <f t="shared" si="8"/>
        <v>0</v>
      </c>
      <c r="H259" s="2">
        <f t="shared" ref="H259:H322" si="9">(G259*24)*$I$2</f>
        <v>0</v>
      </c>
    </row>
    <row r="260" spans="1:8" ht="15.75" customHeight="1" x14ac:dyDescent="0.2">
      <c r="A260" s="14">
        <v>46281</v>
      </c>
      <c r="B260" t="s">
        <v>17</v>
      </c>
      <c r="G260" s="1">
        <f t="shared" si="8"/>
        <v>0</v>
      </c>
      <c r="H260" s="2">
        <f t="shared" si="9"/>
        <v>0</v>
      </c>
    </row>
    <row r="261" spans="1:8" ht="15.75" customHeight="1" x14ac:dyDescent="0.2">
      <c r="A261" s="14">
        <v>46282</v>
      </c>
      <c r="B261" t="s">
        <v>9</v>
      </c>
      <c r="G261" s="1">
        <f t="shared" si="8"/>
        <v>0</v>
      </c>
      <c r="H261" s="2">
        <f t="shared" si="9"/>
        <v>0</v>
      </c>
    </row>
    <row r="262" spans="1:8" ht="15.75" customHeight="1" x14ac:dyDescent="0.2">
      <c r="A262" s="14">
        <v>46283</v>
      </c>
      <c r="B262" t="s">
        <v>10</v>
      </c>
      <c r="G262" s="1">
        <f t="shared" si="8"/>
        <v>0</v>
      </c>
      <c r="H262" s="2">
        <f t="shared" si="9"/>
        <v>0</v>
      </c>
    </row>
    <row r="263" spans="1:8" ht="15.75" customHeight="1" x14ac:dyDescent="0.2">
      <c r="A263" s="14">
        <v>46284</v>
      </c>
      <c r="B263" t="s">
        <v>11</v>
      </c>
      <c r="G263" s="1">
        <f t="shared" si="8"/>
        <v>0</v>
      </c>
      <c r="H263" s="2">
        <f t="shared" si="9"/>
        <v>0</v>
      </c>
    </row>
    <row r="264" spans="1:8" ht="15.75" customHeight="1" x14ac:dyDescent="0.2">
      <c r="A264" s="14">
        <v>46285</v>
      </c>
      <c r="B264" t="s">
        <v>12</v>
      </c>
      <c r="G264" s="1">
        <f t="shared" si="8"/>
        <v>0</v>
      </c>
      <c r="H264" s="2">
        <f t="shared" si="9"/>
        <v>0</v>
      </c>
    </row>
    <row r="265" spans="1:8" ht="15.75" customHeight="1" x14ac:dyDescent="0.2">
      <c r="A265" s="14">
        <v>46286</v>
      </c>
      <c r="B265" t="s">
        <v>13</v>
      </c>
      <c r="G265" s="1">
        <f t="shared" si="8"/>
        <v>0</v>
      </c>
      <c r="H265" s="2">
        <f t="shared" si="9"/>
        <v>0</v>
      </c>
    </row>
    <row r="266" spans="1:8" ht="15.75" customHeight="1" x14ac:dyDescent="0.2">
      <c r="A266" s="14">
        <v>46287</v>
      </c>
      <c r="B266" t="s">
        <v>14</v>
      </c>
      <c r="G266" s="1">
        <f t="shared" si="8"/>
        <v>0</v>
      </c>
      <c r="H266" s="2">
        <f t="shared" si="9"/>
        <v>0</v>
      </c>
    </row>
    <row r="267" spans="1:8" ht="15.75" customHeight="1" x14ac:dyDescent="0.2">
      <c r="A267" s="14">
        <v>46288</v>
      </c>
      <c r="B267" t="s">
        <v>17</v>
      </c>
      <c r="G267" s="1">
        <f t="shared" si="8"/>
        <v>0</v>
      </c>
      <c r="H267" s="2">
        <f t="shared" si="9"/>
        <v>0</v>
      </c>
    </row>
    <row r="268" spans="1:8" ht="15.75" customHeight="1" x14ac:dyDescent="0.2">
      <c r="A268" s="14">
        <v>46289</v>
      </c>
      <c r="B268" t="s">
        <v>9</v>
      </c>
      <c r="G268" s="1">
        <f t="shared" si="8"/>
        <v>0</v>
      </c>
      <c r="H268" s="2">
        <f t="shared" si="9"/>
        <v>0</v>
      </c>
    </row>
    <row r="269" spans="1:8" ht="15.75" customHeight="1" x14ac:dyDescent="0.2">
      <c r="A269" s="14">
        <v>46290</v>
      </c>
      <c r="B269" t="s">
        <v>10</v>
      </c>
      <c r="G269" s="1">
        <f t="shared" si="8"/>
        <v>0</v>
      </c>
      <c r="H269" s="2">
        <f t="shared" si="9"/>
        <v>0</v>
      </c>
    </row>
    <row r="270" spans="1:8" ht="15.75" customHeight="1" x14ac:dyDescent="0.2">
      <c r="A270" s="14">
        <v>46291</v>
      </c>
      <c r="B270" t="s">
        <v>11</v>
      </c>
      <c r="G270" s="1">
        <f t="shared" si="8"/>
        <v>0</v>
      </c>
      <c r="H270" s="2">
        <f t="shared" si="9"/>
        <v>0</v>
      </c>
    </row>
    <row r="271" spans="1:8" ht="15.75" customHeight="1" x14ac:dyDescent="0.2">
      <c r="A271" s="14">
        <v>46292</v>
      </c>
      <c r="B271" t="s">
        <v>12</v>
      </c>
      <c r="G271" s="1">
        <f t="shared" si="8"/>
        <v>0</v>
      </c>
      <c r="H271" s="2">
        <f t="shared" si="9"/>
        <v>0</v>
      </c>
    </row>
    <row r="272" spans="1:8" ht="15.75" customHeight="1" x14ac:dyDescent="0.2">
      <c r="A272" s="14">
        <v>46293</v>
      </c>
      <c r="B272" t="s">
        <v>13</v>
      </c>
      <c r="G272" s="1">
        <f t="shared" si="8"/>
        <v>0</v>
      </c>
      <c r="H272" s="2">
        <f t="shared" si="9"/>
        <v>0</v>
      </c>
    </row>
    <row r="273" spans="1:8" ht="15.75" customHeight="1" x14ac:dyDescent="0.2">
      <c r="A273" s="14">
        <v>46294</v>
      </c>
      <c r="B273" t="s">
        <v>14</v>
      </c>
      <c r="G273" s="1">
        <f t="shared" si="8"/>
        <v>0</v>
      </c>
      <c r="H273" s="2">
        <f t="shared" si="9"/>
        <v>0</v>
      </c>
    </row>
    <row r="274" spans="1:8" ht="15.75" customHeight="1" x14ac:dyDescent="0.2">
      <c r="A274" s="14">
        <v>46295</v>
      </c>
      <c r="B274" t="s">
        <v>17</v>
      </c>
      <c r="G274" s="1">
        <f t="shared" si="8"/>
        <v>0</v>
      </c>
      <c r="H274" s="2">
        <f t="shared" si="9"/>
        <v>0</v>
      </c>
    </row>
    <row r="275" spans="1:8" ht="15.75" customHeight="1" x14ac:dyDescent="0.2">
      <c r="A275" s="14">
        <v>46296</v>
      </c>
      <c r="B275" t="s">
        <v>9</v>
      </c>
      <c r="G275" s="1">
        <f t="shared" si="8"/>
        <v>0</v>
      </c>
      <c r="H275" s="2">
        <f t="shared" si="9"/>
        <v>0</v>
      </c>
    </row>
    <row r="276" spans="1:8" ht="15.75" customHeight="1" x14ac:dyDescent="0.2">
      <c r="A276" s="14">
        <v>46297</v>
      </c>
      <c r="B276" t="s">
        <v>10</v>
      </c>
      <c r="G276" s="1">
        <f t="shared" si="8"/>
        <v>0</v>
      </c>
      <c r="H276" s="2">
        <f t="shared" si="9"/>
        <v>0</v>
      </c>
    </row>
    <row r="277" spans="1:8" ht="15.75" customHeight="1" x14ac:dyDescent="0.2">
      <c r="A277" s="14">
        <v>46298</v>
      </c>
      <c r="B277" t="s">
        <v>11</v>
      </c>
      <c r="G277" s="1">
        <f t="shared" si="8"/>
        <v>0</v>
      </c>
      <c r="H277" s="2">
        <f t="shared" si="9"/>
        <v>0</v>
      </c>
    </row>
    <row r="278" spans="1:8" ht="15.75" customHeight="1" x14ac:dyDescent="0.2">
      <c r="A278" s="14">
        <v>46299</v>
      </c>
      <c r="B278" t="s">
        <v>12</v>
      </c>
      <c r="G278" s="1">
        <f t="shared" si="8"/>
        <v>0</v>
      </c>
      <c r="H278" s="2">
        <f t="shared" si="9"/>
        <v>0</v>
      </c>
    </row>
    <row r="279" spans="1:8" ht="15.75" customHeight="1" x14ac:dyDescent="0.2">
      <c r="A279" s="14">
        <v>46300</v>
      </c>
      <c r="B279" t="s">
        <v>13</v>
      </c>
      <c r="G279" s="1">
        <f t="shared" si="8"/>
        <v>0</v>
      </c>
      <c r="H279" s="2">
        <f t="shared" si="9"/>
        <v>0</v>
      </c>
    </row>
    <row r="280" spans="1:8" ht="15.75" customHeight="1" x14ac:dyDescent="0.2">
      <c r="A280" s="14">
        <v>46301</v>
      </c>
      <c r="B280" t="s">
        <v>14</v>
      </c>
      <c r="G280" s="1">
        <f t="shared" si="8"/>
        <v>0</v>
      </c>
      <c r="H280" s="2">
        <f t="shared" si="9"/>
        <v>0</v>
      </c>
    </row>
    <row r="281" spans="1:8" ht="15.75" customHeight="1" x14ac:dyDescent="0.2">
      <c r="A281" s="14">
        <v>46302</v>
      </c>
      <c r="B281" t="s">
        <v>17</v>
      </c>
      <c r="G281" s="1">
        <f t="shared" si="8"/>
        <v>0</v>
      </c>
      <c r="H281" s="2">
        <f t="shared" si="9"/>
        <v>0</v>
      </c>
    </row>
    <row r="282" spans="1:8" ht="15.75" customHeight="1" x14ac:dyDescent="0.2">
      <c r="A282" s="14">
        <v>46303</v>
      </c>
      <c r="B282" t="s">
        <v>9</v>
      </c>
      <c r="G282" s="1">
        <f t="shared" si="8"/>
        <v>0</v>
      </c>
      <c r="H282" s="2">
        <f t="shared" si="9"/>
        <v>0</v>
      </c>
    </row>
    <row r="283" spans="1:8" ht="15.75" customHeight="1" x14ac:dyDescent="0.2">
      <c r="A283" s="14">
        <v>46304</v>
      </c>
      <c r="B283" t="s">
        <v>10</v>
      </c>
      <c r="G283" s="1">
        <f t="shared" si="8"/>
        <v>0</v>
      </c>
      <c r="H283" s="2">
        <f t="shared" si="9"/>
        <v>0</v>
      </c>
    </row>
    <row r="284" spans="1:8" ht="15.75" customHeight="1" x14ac:dyDescent="0.2">
      <c r="A284" s="14">
        <v>46305</v>
      </c>
      <c r="B284" t="s">
        <v>11</v>
      </c>
      <c r="G284" s="1">
        <f t="shared" si="8"/>
        <v>0</v>
      </c>
      <c r="H284" s="2">
        <f t="shared" si="9"/>
        <v>0</v>
      </c>
    </row>
    <row r="285" spans="1:8" ht="15.75" customHeight="1" x14ac:dyDescent="0.2">
      <c r="A285" s="14">
        <v>46306</v>
      </c>
      <c r="B285" t="s">
        <v>12</v>
      </c>
      <c r="G285" s="1">
        <f t="shared" si="8"/>
        <v>0</v>
      </c>
      <c r="H285" s="2">
        <f t="shared" si="9"/>
        <v>0</v>
      </c>
    </row>
    <row r="286" spans="1:8" ht="15.75" customHeight="1" x14ac:dyDescent="0.2">
      <c r="A286" s="14">
        <v>46307</v>
      </c>
      <c r="B286" t="s">
        <v>13</v>
      </c>
      <c r="G286" s="1">
        <f t="shared" si="8"/>
        <v>0</v>
      </c>
      <c r="H286" s="2">
        <f t="shared" si="9"/>
        <v>0</v>
      </c>
    </row>
    <row r="287" spans="1:8" ht="15.75" customHeight="1" x14ac:dyDescent="0.2">
      <c r="A287" s="14">
        <v>46308</v>
      </c>
      <c r="B287" t="s">
        <v>14</v>
      </c>
      <c r="G287" s="1">
        <f t="shared" si="8"/>
        <v>0</v>
      </c>
      <c r="H287" s="2">
        <f t="shared" si="9"/>
        <v>0</v>
      </c>
    </row>
    <row r="288" spans="1:8" ht="15.75" customHeight="1" x14ac:dyDescent="0.2">
      <c r="A288" s="14">
        <v>46309</v>
      </c>
      <c r="B288" t="s">
        <v>17</v>
      </c>
      <c r="G288" s="1">
        <f t="shared" si="8"/>
        <v>0</v>
      </c>
      <c r="H288" s="2">
        <f t="shared" si="9"/>
        <v>0</v>
      </c>
    </row>
    <row r="289" spans="1:8" ht="15.75" customHeight="1" x14ac:dyDescent="0.2">
      <c r="A289" s="14">
        <v>46310</v>
      </c>
      <c r="B289" t="s">
        <v>9</v>
      </c>
      <c r="G289" s="1">
        <f t="shared" si="8"/>
        <v>0</v>
      </c>
      <c r="H289" s="2">
        <f t="shared" si="9"/>
        <v>0</v>
      </c>
    </row>
    <row r="290" spans="1:8" ht="15.75" customHeight="1" x14ac:dyDescent="0.2">
      <c r="A290" s="14">
        <v>46311</v>
      </c>
      <c r="B290" t="s">
        <v>10</v>
      </c>
      <c r="G290" s="1">
        <f t="shared" si="8"/>
        <v>0</v>
      </c>
      <c r="H290" s="2">
        <f t="shared" si="9"/>
        <v>0</v>
      </c>
    </row>
    <row r="291" spans="1:8" ht="15.75" customHeight="1" x14ac:dyDescent="0.2">
      <c r="A291" s="14">
        <v>46312</v>
      </c>
      <c r="B291" t="s">
        <v>11</v>
      </c>
      <c r="G291" s="1">
        <f t="shared" si="8"/>
        <v>0</v>
      </c>
      <c r="H291" s="2">
        <f t="shared" si="9"/>
        <v>0</v>
      </c>
    </row>
    <row r="292" spans="1:8" ht="15.75" customHeight="1" x14ac:dyDescent="0.2">
      <c r="A292" s="14">
        <v>46313</v>
      </c>
      <c r="B292" t="s">
        <v>12</v>
      </c>
      <c r="G292" s="1">
        <f t="shared" si="8"/>
        <v>0</v>
      </c>
      <c r="H292" s="2">
        <f t="shared" si="9"/>
        <v>0</v>
      </c>
    </row>
    <row r="293" spans="1:8" ht="15.75" customHeight="1" x14ac:dyDescent="0.2">
      <c r="A293" s="14">
        <v>46314</v>
      </c>
      <c r="B293" t="s">
        <v>13</v>
      </c>
      <c r="G293" s="1">
        <f t="shared" si="8"/>
        <v>0</v>
      </c>
      <c r="H293" s="2">
        <f t="shared" si="9"/>
        <v>0</v>
      </c>
    </row>
    <row r="294" spans="1:8" ht="15.75" customHeight="1" x14ac:dyDescent="0.2">
      <c r="A294" s="14">
        <v>46315</v>
      </c>
      <c r="B294" t="s">
        <v>14</v>
      </c>
      <c r="G294" s="1">
        <f t="shared" si="8"/>
        <v>0</v>
      </c>
      <c r="H294" s="2">
        <f t="shared" si="9"/>
        <v>0</v>
      </c>
    </row>
    <row r="295" spans="1:8" ht="15.75" customHeight="1" x14ac:dyDescent="0.2">
      <c r="A295" s="14">
        <v>46316</v>
      </c>
      <c r="B295" t="s">
        <v>17</v>
      </c>
      <c r="G295" s="1">
        <f t="shared" si="8"/>
        <v>0</v>
      </c>
      <c r="H295" s="2">
        <f t="shared" si="9"/>
        <v>0</v>
      </c>
    </row>
    <row r="296" spans="1:8" ht="15.75" customHeight="1" x14ac:dyDescent="0.2">
      <c r="A296" s="14">
        <v>46317</v>
      </c>
      <c r="B296" t="s">
        <v>9</v>
      </c>
      <c r="G296" s="1">
        <f t="shared" si="8"/>
        <v>0</v>
      </c>
      <c r="H296" s="2">
        <f t="shared" si="9"/>
        <v>0</v>
      </c>
    </row>
    <row r="297" spans="1:8" ht="15.75" customHeight="1" x14ac:dyDescent="0.2">
      <c r="A297" s="14">
        <v>46318</v>
      </c>
      <c r="B297" t="s">
        <v>10</v>
      </c>
      <c r="G297" s="1">
        <f t="shared" si="8"/>
        <v>0</v>
      </c>
      <c r="H297" s="2">
        <f t="shared" si="9"/>
        <v>0</v>
      </c>
    </row>
    <row r="298" spans="1:8" ht="15.75" customHeight="1" x14ac:dyDescent="0.2">
      <c r="A298" s="14">
        <v>46319</v>
      </c>
      <c r="B298" t="s">
        <v>11</v>
      </c>
      <c r="G298" s="1">
        <f t="shared" si="8"/>
        <v>0</v>
      </c>
      <c r="H298" s="2">
        <f t="shared" si="9"/>
        <v>0</v>
      </c>
    </row>
    <row r="299" spans="1:8" ht="15.75" customHeight="1" x14ac:dyDescent="0.2">
      <c r="A299" s="14">
        <v>46320</v>
      </c>
      <c r="B299" t="s">
        <v>12</v>
      </c>
      <c r="G299" s="1">
        <f t="shared" si="8"/>
        <v>0</v>
      </c>
      <c r="H299" s="2">
        <f t="shared" si="9"/>
        <v>0</v>
      </c>
    </row>
    <row r="300" spans="1:8" ht="15.75" customHeight="1" x14ac:dyDescent="0.2">
      <c r="A300" s="14">
        <v>46321</v>
      </c>
      <c r="B300" t="s">
        <v>13</v>
      </c>
      <c r="G300" s="1">
        <f t="shared" si="8"/>
        <v>0</v>
      </c>
      <c r="H300" s="2">
        <f t="shared" si="9"/>
        <v>0</v>
      </c>
    </row>
    <row r="301" spans="1:8" ht="15.75" customHeight="1" x14ac:dyDescent="0.2">
      <c r="A301" s="14">
        <v>46322</v>
      </c>
      <c r="B301" t="s">
        <v>14</v>
      </c>
      <c r="G301" s="1">
        <f t="shared" si="8"/>
        <v>0</v>
      </c>
      <c r="H301" s="2">
        <f t="shared" si="9"/>
        <v>0</v>
      </c>
    </row>
    <row r="302" spans="1:8" ht="15.75" customHeight="1" x14ac:dyDescent="0.2">
      <c r="A302" s="14">
        <v>46323</v>
      </c>
      <c r="B302" t="s">
        <v>17</v>
      </c>
      <c r="G302" s="1">
        <f t="shared" si="8"/>
        <v>0</v>
      </c>
      <c r="H302" s="2">
        <f t="shared" si="9"/>
        <v>0</v>
      </c>
    </row>
    <row r="303" spans="1:8" ht="15.75" customHeight="1" x14ac:dyDescent="0.2">
      <c r="A303" s="14">
        <v>46324</v>
      </c>
      <c r="B303" t="s">
        <v>9</v>
      </c>
      <c r="G303" s="1">
        <f t="shared" si="8"/>
        <v>0</v>
      </c>
      <c r="H303" s="2">
        <f t="shared" si="9"/>
        <v>0</v>
      </c>
    </row>
    <row r="304" spans="1:8" ht="15.75" customHeight="1" x14ac:dyDescent="0.2">
      <c r="A304" s="14">
        <v>46325</v>
      </c>
      <c r="B304" t="s">
        <v>10</v>
      </c>
      <c r="G304" s="1">
        <f t="shared" si="8"/>
        <v>0</v>
      </c>
      <c r="H304" s="2">
        <f t="shared" si="9"/>
        <v>0</v>
      </c>
    </row>
    <row r="305" spans="1:8" ht="15.75" customHeight="1" x14ac:dyDescent="0.2">
      <c r="A305" s="14">
        <v>46326</v>
      </c>
      <c r="B305" t="s">
        <v>11</v>
      </c>
      <c r="G305" s="1">
        <f t="shared" si="8"/>
        <v>0</v>
      </c>
      <c r="H305" s="2">
        <f t="shared" si="9"/>
        <v>0</v>
      </c>
    </row>
    <row r="306" spans="1:8" ht="15.75" customHeight="1" x14ac:dyDescent="0.2">
      <c r="A306" s="14">
        <v>46327</v>
      </c>
      <c r="B306" t="s">
        <v>12</v>
      </c>
      <c r="G306" s="1">
        <f t="shared" si="8"/>
        <v>0</v>
      </c>
      <c r="H306" s="2">
        <f t="shared" si="9"/>
        <v>0</v>
      </c>
    </row>
    <row r="307" spans="1:8" ht="15.75" customHeight="1" x14ac:dyDescent="0.2">
      <c r="A307" s="14">
        <v>46328</v>
      </c>
      <c r="B307" t="s">
        <v>13</v>
      </c>
      <c r="G307" s="1">
        <f t="shared" si="8"/>
        <v>0</v>
      </c>
      <c r="H307" s="2">
        <f t="shared" si="9"/>
        <v>0</v>
      </c>
    </row>
    <row r="308" spans="1:8" ht="15.75" customHeight="1" x14ac:dyDescent="0.2">
      <c r="A308" s="14">
        <v>46329</v>
      </c>
      <c r="B308" t="s">
        <v>14</v>
      </c>
      <c r="G308" s="1">
        <f t="shared" si="8"/>
        <v>0</v>
      </c>
      <c r="H308" s="2">
        <f t="shared" si="9"/>
        <v>0</v>
      </c>
    </row>
    <row r="309" spans="1:8" ht="15.75" customHeight="1" x14ac:dyDescent="0.2">
      <c r="A309" s="14">
        <v>46330</v>
      </c>
      <c r="B309" t="s">
        <v>17</v>
      </c>
      <c r="G309" s="1">
        <f t="shared" si="8"/>
        <v>0</v>
      </c>
      <c r="H309" s="2">
        <f t="shared" si="9"/>
        <v>0</v>
      </c>
    </row>
    <row r="310" spans="1:8" ht="15.75" customHeight="1" x14ac:dyDescent="0.2">
      <c r="A310" s="14">
        <v>46331</v>
      </c>
      <c r="B310" t="s">
        <v>9</v>
      </c>
      <c r="G310" s="1">
        <f t="shared" si="8"/>
        <v>0</v>
      </c>
      <c r="H310" s="2">
        <f t="shared" si="9"/>
        <v>0</v>
      </c>
    </row>
    <row r="311" spans="1:8" ht="15.75" customHeight="1" x14ac:dyDescent="0.2">
      <c r="A311" s="14">
        <v>46332</v>
      </c>
      <c r="B311" t="s">
        <v>10</v>
      </c>
      <c r="G311" s="1">
        <f t="shared" si="8"/>
        <v>0</v>
      </c>
      <c r="H311" s="2">
        <f t="shared" si="9"/>
        <v>0</v>
      </c>
    </row>
    <row r="312" spans="1:8" ht="15.75" customHeight="1" x14ac:dyDescent="0.2">
      <c r="A312" s="14">
        <v>46333</v>
      </c>
      <c r="B312" t="s">
        <v>11</v>
      </c>
      <c r="G312" s="1">
        <f t="shared" si="8"/>
        <v>0</v>
      </c>
      <c r="H312" s="2">
        <f t="shared" si="9"/>
        <v>0</v>
      </c>
    </row>
    <row r="313" spans="1:8" ht="15.75" customHeight="1" x14ac:dyDescent="0.2">
      <c r="A313" s="14">
        <v>46334</v>
      </c>
      <c r="B313" t="s">
        <v>12</v>
      </c>
      <c r="G313" s="1">
        <f t="shared" si="8"/>
        <v>0</v>
      </c>
      <c r="H313" s="2">
        <f t="shared" si="9"/>
        <v>0</v>
      </c>
    </row>
    <row r="314" spans="1:8" ht="15.75" customHeight="1" x14ac:dyDescent="0.2">
      <c r="A314" s="14">
        <v>46335</v>
      </c>
      <c r="B314" t="s">
        <v>13</v>
      </c>
      <c r="G314" s="1">
        <f t="shared" si="8"/>
        <v>0</v>
      </c>
      <c r="H314" s="2">
        <f t="shared" si="9"/>
        <v>0</v>
      </c>
    </row>
    <row r="315" spans="1:8" ht="15.75" customHeight="1" x14ac:dyDescent="0.2">
      <c r="A315" s="14">
        <v>46336</v>
      </c>
      <c r="B315" t="s">
        <v>14</v>
      </c>
      <c r="G315" s="1">
        <f t="shared" si="8"/>
        <v>0</v>
      </c>
      <c r="H315" s="2">
        <f t="shared" si="9"/>
        <v>0</v>
      </c>
    </row>
    <row r="316" spans="1:8" ht="15.75" customHeight="1" x14ac:dyDescent="0.2">
      <c r="A316" s="14">
        <v>46337</v>
      </c>
      <c r="B316" t="s">
        <v>17</v>
      </c>
      <c r="G316" s="1">
        <f t="shared" si="8"/>
        <v>0</v>
      </c>
      <c r="H316" s="2">
        <f t="shared" si="9"/>
        <v>0</v>
      </c>
    </row>
    <row r="317" spans="1:8" ht="15.75" customHeight="1" x14ac:dyDescent="0.2">
      <c r="A317" s="14">
        <v>46338</v>
      </c>
      <c r="B317" t="s">
        <v>9</v>
      </c>
      <c r="G317" s="1">
        <f t="shared" si="8"/>
        <v>0</v>
      </c>
      <c r="H317" s="2">
        <f t="shared" si="9"/>
        <v>0</v>
      </c>
    </row>
    <row r="318" spans="1:8" ht="15.75" customHeight="1" x14ac:dyDescent="0.2">
      <c r="A318" s="14">
        <v>46339</v>
      </c>
      <c r="B318" t="s">
        <v>10</v>
      </c>
      <c r="G318" s="1">
        <f t="shared" si="8"/>
        <v>0</v>
      </c>
      <c r="H318" s="2">
        <f t="shared" si="9"/>
        <v>0</v>
      </c>
    </row>
    <row r="319" spans="1:8" ht="15.75" customHeight="1" x14ac:dyDescent="0.2">
      <c r="A319" s="14">
        <v>46340</v>
      </c>
      <c r="B319" t="s">
        <v>11</v>
      </c>
      <c r="G319" s="1">
        <f t="shared" si="8"/>
        <v>0</v>
      </c>
      <c r="H319" s="2">
        <f t="shared" si="9"/>
        <v>0</v>
      </c>
    </row>
    <row r="320" spans="1:8" ht="15.75" customHeight="1" x14ac:dyDescent="0.2">
      <c r="A320" s="14">
        <v>46341</v>
      </c>
      <c r="B320" t="s">
        <v>12</v>
      </c>
      <c r="G320" s="1">
        <f t="shared" si="8"/>
        <v>0</v>
      </c>
      <c r="H320" s="2">
        <f t="shared" si="9"/>
        <v>0</v>
      </c>
    </row>
    <row r="321" spans="1:8" ht="15.75" customHeight="1" x14ac:dyDescent="0.2">
      <c r="A321" s="14">
        <v>46342</v>
      </c>
      <c r="B321" t="s">
        <v>13</v>
      </c>
      <c r="G321" s="1">
        <f t="shared" si="8"/>
        <v>0</v>
      </c>
      <c r="H321" s="2">
        <f t="shared" si="9"/>
        <v>0</v>
      </c>
    </row>
    <row r="322" spans="1:8" ht="15.75" customHeight="1" x14ac:dyDescent="0.2">
      <c r="A322" s="14">
        <v>46343</v>
      </c>
      <c r="B322" t="s">
        <v>14</v>
      </c>
      <c r="G322" s="1">
        <f t="shared" ref="G322:G385" si="10">IF(AND(C322&lt;&gt;"",D322&lt;&gt;""),(D322-C322),0)+IF(AND(E322&lt;&gt;"",F322&lt;&gt;""),(F322-E322),0)</f>
        <v>0</v>
      </c>
      <c r="H322" s="2">
        <f t="shared" si="9"/>
        <v>0</v>
      </c>
    </row>
    <row r="323" spans="1:8" ht="15.75" customHeight="1" x14ac:dyDescent="0.2">
      <c r="A323" s="14">
        <v>46344</v>
      </c>
      <c r="B323" t="s">
        <v>17</v>
      </c>
      <c r="G323" s="1">
        <f t="shared" si="10"/>
        <v>0</v>
      </c>
      <c r="H323" s="2">
        <f t="shared" ref="H323:H366" si="11">(G323*24)*$I$2</f>
        <v>0</v>
      </c>
    </row>
    <row r="324" spans="1:8" ht="15.75" customHeight="1" x14ac:dyDescent="0.2">
      <c r="A324" s="14">
        <v>46345</v>
      </c>
      <c r="B324" t="s">
        <v>9</v>
      </c>
      <c r="G324" s="1">
        <f t="shared" si="10"/>
        <v>0</v>
      </c>
      <c r="H324" s="2">
        <f t="shared" si="11"/>
        <v>0</v>
      </c>
    </row>
    <row r="325" spans="1:8" ht="15.75" customHeight="1" x14ac:dyDescent="0.2">
      <c r="A325" s="14">
        <v>46346</v>
      </c>
      <c r="B325" t="s">
        <v>10</v>
      </c>
      <c r="G325" s="1">
        <f t="shared" si="10"/>
        <v>0</v>
      </c>
      <c r="H325" s="2">
        <f t="shared" si="11"/>
        <v>0</v>
      </c>
    </row>
    <row r="326" spans="1:8" ht="15.75" customHeight="1" x14ac:dyDescent="0.2">
      <c r="A326" s="14">
        <v>46347</v>
      </c>
      <c r="B326" t="s">
        <v>11</v>
      </c>
      <c r="G326" s="1">
        <f t="shared" si="10"/>
        <v>0</v>
      </c>
      <c r="H326" s="2">
        <f t="shared" si="11"/>
        <v>0</v>
      </c>
    </row>
    <row r="327" spans="1:8" ht="15.75" customHeight="1" x14ac:dyDescent="0.2">
      <c r="A327" s="14">
        <v>46348</v>
      </c>
      <c r="B327" t="s">
        <v>12</v>
      </c>
      <c r="G327" s="1">
        <f t="shared" si="10"/>
        <v>0</v>
      </c>
      <c r="H327" s="2">
        <f t="shared" si="11"/>
        <v>0</v>
      </c>
    </row>
    <row r="328" spans="1:8" ht="15.75" customHeight="1" x14ac:dyDescent="0.2">
      <c r="A328" s="14">
        <v>46349</v>
      </c>
      <c r="B328" t="s">
        <v>13</v>
      </c>
      <c r="G328" s="1">
        <f t="shared" si="10"/>
        <v>0</v>
      </c>
      <c r="H328" s="2">
        <f t="shared" si="11"/>
        <v>0</v>
      </c>
    </row>
    <row r="329" spans="1:8" ht="15.75" customHeight="1" x14ac:dyDescent="0.2">
      <c r="A329" s="14">
        <v>46350</v>
      </c>
      <c r="B329" t="s">
        <v>14</v>
      </c>
      <c r="G329" s="1">
        <f t="shared" si="10"/>
        <v>0</v>
      </c>
      <c r="H329" s="2">
        <f t="shared" si="11"/>
        <v>0</v>
      </c>
    </row>
    <row r="330" spans="1:8" ht="15.75" customHeight="1" x14ac:dyDescent="0.2">
      <c r="A330" s="14">
        <v>46351</v>
      </c>
      <c r="B330" t="s">
        <v>17</v>
      </c>
      <c r="G330" s="1">
        <f t="shared" si="10"/>
        <v>0</v>
      </c>
      <c r="H330" s="2">
        <f t="shared" si="11"/>
        <v>0</v>
      </c>
    </row>
    <row r="331" spans="1:8" ht="15.75" customHeight="1" x14ac:dyDescent="0.2">
      <c r="A331" s="14">
        <v>46352</v>
      </c>
      <c r="B331" t="s">
        <v>9</v>
      </c>
      <c r="G331" s="1">
        <f t="shared" si="10"/>
        <v>0</v>
      </c>
      <c r="H331" s="2">
        <f t="shared" si="11"/>
        <v>0</v>
      </c>
    </row>
    <row r="332" spans="1:8" ht="15.75" customHeight="1" x14ac:dyDescent="0.2">
      <c r="A332" s="14">
        <v>46353</v>
      </c>
      <c r="B332" t="s">
        <v>10</v>
      </c>
      <c r="G332" s="1">
        <f t="shared" si="10"/>
        <v>0</v>
      </c>
      <c r="H332" s="2">
        <f t="shared" si="11"/>
        <v>0</v>
      </c>
    </row>
    <row r="333" spans="1:8" ht="15.75" customHeight="1" x14ac:dyDescent="0.2">
      <c r="A333" s="14">
        <v>46354</v>
      </c>
      <c r="B333" t="s">
        <v>11</v>
      </c>
      <c r="G333" s="1">
        <f t="shared" si="10"/>
        <v>0</v>
      </c>
      <c r="H333" s="2">
        <f t="shared" si="11"/>
        <v>0</v>
      </c>
    </row>
    <row r="334" spans="1:8" ht="15.75" customHeight="1" x14ac:dyDescent="0.2">
      <c r="A334" s="14">
        <v>46355</v>
      </c>
      <c r="B334" t="s">
        <v>12</v>
      </c>
      <c r="G334" s="1">
        <f t="shared" si="10"/>
        <v>0</v>
      </c>
      <c r="H334" s="2">
        <f t="shared" si="11"/>
        <v>0</v>
      </c>
    </row>
    <row r="335" spans="1:8" ht="15.75" customHeight="1" x14ac:dyDescent="0.2">
      <c r="A335" s="14">
        <v>46356</v>
      </c>
      <c r="B335" t="s">
        <v>13</v>
      </c>
      <c r="G335" s="1">
        <f t="shared" si="10"/>
        <v>0</v>
      </c>
      <c r="H335" s="2">
        <f t="shared" si="11"/>
        <v>0</v>
      </c>
    </row>
    <row r="336" spans="1:8" ht="15.75" customHeight="1" x14ac:dyDescent="0.2">
      <c r="A336" s="14">
        <v>46357</v>
      </c>
      <c r="B336" t="s">
        <v>14</v>
      </c>
      <c r="G336" s="1">
        <f t="shared" si="10"/>
        <v>0</v>
      </c>
      <c r="H336" s="2">
        <f t="shared" si="11"/>
        <v>0</v>
      </c>
    </row>
    <row r="337" spans="1:8" ht="15.75" customHeight="1" x14ac:dyDescent="0.2">
      <c r="A337" s="14">
        <v>46358</v>
      </c>
      <c r="B337" t="s">
        <v>17</v>
      </c>
      <c r="G337" s="1">
        <f t="shared" si="10"/>
        <v>0</v>
      </c>
      <c r="H337" s="2">
        <f t="shared" si="11"/>
        <v>0</v>
      </c>
    </row>
    <row r="338" spans="1:8" ht="15.75" customHeight="1" x14ac:dyDescent="0.2">
      <c r="A338" s="14">
        <v>46359</v>
      </c>
      <c r="B338" t="s">
        <v>9</v>
      </c>
      <c r="G338" s="1">
        <f t="shared" si="10"/>
        <v>0</v>
      </c>
      <c r="H338" s="2">
        <f t="shared" si="11"/>
        <v>0</v>
      </c>
    </row>
    <row r="339" spans="1:8" ht="15.75" customHeight="1" x14ac:dyDescent="0.2">
      <c r="A339" s="14">
        <v>46360</v>
      </c>
      <c r="B339" t="s">
        <v>10</v>
      </c>
      <c r="G339" s="1">
        <f t="shared" si="10"/>
        <v>0</v>
      </c>
      <c r="H339" s="2">
        <f t="shared" si="11"/>
        <v>0</v>
      </c>
    </row>
    <row r="340" spans="1:8" ht="15.75" customHeight="1" x14ac:dyDescent="0.2">
      <c r="A340" s="14">
        <v>46361</v>
      </c>
      <c r="B340" t="s">
        <v>11</v>
      </c>
      <c r="G340" s="1">
        <f t="shared" si="10"/>
        <v>0</v>
      </c>
      <c r="H340" s="2">
        <f t="shared" si="11"/>
        <v>0</v>
      </c>
    </row>
    <row r="341" spans="1:8" ht="15.75" customHeight="1" x14ac:dyDescent="0.2">
      <c r="A341" s="14">
        <v>46362</v>
      </c>
      <c r="B341" t="s">
        <v>12</v>
      </c>
      <c r="G341" s="1">
        <f t="shared" si="10"/>
        <v>0</v>
      </c>
      <c r="H341" s="2">
        <f t="shared" si="11"/>
        <v>0</v>
      </c>
    </row>
    <row r="342" spans="1:8" ht="15.75" customHeight="1" x14ac:dyDescent="0.2">
      <c r="A342" s="14">
        <v>46363</v>
      </c>
      <c r="B342" t="s">
        <v>13</v>
      </c>
      <c r="G342" s="1">
        <f t="shared" si="10"/>
        <v>0</v>
      </c>
      <c r="H342" s="2">
        <f t="shared" si="11"/>
        <v>0</v>
      </c>
    </row>
    <row r="343" spans="1:8" ht="15.75" customHeight="1" x14ac:dyDescent="0.2">
      <c r="A343" s="14">
        <v>46364</v>
      </c>
      <c r="B343" t="s">
        <v>14</v>
      </c>
      <c r="G343" s="1">
        <f t="shared" si="10"/>
        <v>0</v>
      </c>
      <c r="H343" s="2">
        <f t="shared" si="11"/>
        <v>0</v>
      </c>
    </row>
    <row r="344" spans="1:8" ht="15.75" customHeight="1" x14ac:dyDescent="0.2">
      <c r="A344" s="14">
        <v>46365</v>
      </c>
      <c r="B344" t="s">
        <v>17</v>
      </c>
      <c r="G344" s="1">
        <f t="shared" si="10"/>
        <v>0</v>
      </c>
      <c r="H344" s="2">
        <f t="shared" si="11"/>
        <v>0</v>
      </c>
    </row>
    <row r="345" spans="1:8" ht="15.75" customHeight="1" x14ac:dyDescent="0.2">
      <c r="A345" s="14">
        <v>46366</v>
      </c>
      <c r="B345" t="s">
        <v>9</v>
      </c>
      <c r="G345" s="1">
        <f t="shared" si="10"/>
        <v>0</v>
      </c>
      <c r="H345" s="2">
        <f t="shared" si="11"/>
        <v>0</v>
      </c>
    </row>
    <row r="346" spans="1:8" ht="15.75" customHeight="1" x14ac:dyDescent="0.2">
      <c r="A346" s="14">
        <v>46367</v>
      </c>
      <c r="B346" t="s">
        <v>10</v>
      </c>
      <c r="G346" s="1">
        <f t="shared" si="10"/>
        <v>0</v>
      </c>
      <c r="H346" s="2">
        <f t="shared" si="11"/>
        <v>0</v>
      </c>
    </row>
    <row r="347" spans="1:8" ht="15.75" customHeight="1" x14ac:dyDescent="0.2">
      <c r="A347" s="14">
        <v>46368</v>
      </c>
      <c r="B347" t="s">
        <v>11</v>
      </c>
      <c r="G347" s="1">
        <f t="shared" si="10"/>
        <v>0</v>
      </c>
      <c r="H347" s="2">
        <f t="shared" si="11"/>
        <v>0</v>
      </c>
    </row>
    <row r="348" spans="1:8" ht="15.75" customHeight="1" x14ac:dyDescent="0.2">
      <c r="A348" s="14">
        <v>46369</v>
      </c>
      <c r="B348" t="s">
        <v>12</v>
      </c>
      <c r="G348" s="1">
        <f t="shared" si="10"/>
        <v>0</v>
      </c>
      <c r="H348" s="2">
        <f t="shared" si="11"/>
        <v>0</v>
      </c>
    </row>
    <row r="349" spans="1:8" ht="15.75" customHeight="1" x14ac:dyDescent="0.2">
      <c r="A349" s="14">
        <v>46370</v>
      </c>
      <c r="B349" t="s">
        <v>13</v>
      </c>
      <c r="G349" s="1">
        <f t="shared" si="10"/>
        <v>0</v>
      </c>
      <c r="H349" s="2">
        <f t="shared" si="11"/>
        <v>0</v>
      </c>
    </row>
    <row r="350" spans="1:8" ht="15.75" customHeight="1" x14ac:dyDescent="0.2">
      <c r="A350" s="14">
        <v>46371</v>
      </c>
      <c r="B350" t="s">
        <v>14</v>
      </c>
      <c r="G350" s="1">
        <f t="shared" si="10"/>
        <v>0</v>
      </c>
      <c r="H350" s="2">
        <f t="shared" si="11"/>
        <v>0</v>
      </c>
    </row>
    <row r="351" spans="1:8" ht="15.75" customHeight="1" x14ac:dyDescent="0.2">
      <c r="A351" s="14">
        <v>46372</v>
      </c>
      <c r="B351" t="s">
        <v>17</v>
      </c>
      <c r="G351" s="1">
        <f t="shared" si="10"/>
        <v>0</v>
      </c>
      <c r="H351" s="2">
        <f t="shared" si="11"/>
        <v>0</v>
      </c>
    </row>
    <row r="352" spans="1:8" ht="15.75" customHeight="1" x14ac:dyDescent="0.2">
      <c r="A352" s="14">
        <v>46373</v>
      </c>
      <c r="B352" t="s">
        <v>9</v>
      </c>
      <c r="G352" s="1">
        <f t="shared" si="10"/>
        <v>0</v>
      </c>
      <c r="H352" s="2">
        <f t="shared" si="11"/>
        <v>0</v>
      </c>
    </row>
    <row r="353" spans="1:8" ht="15.75" customHeight="1" x14ac:dyDescent="0.2">
      <c r="A353" s="14">
        <v>46374</v>
      </c>
      <c r="B353" t="s">
        <v>10</v>
      </c>
      <c r="G353" s="1">
        <f t="shared" si="10"/>
        <v>0</v>
      </c>
      <c r="H353" s="2">
        <f t="shared" si="11"/>
        <v>0</v>
      </c>
    </row>
    <row r="354" spans="1:8" ht="15.75" customHeight="1" x14ac:dyDescent="0.2">
      <c r="A354" s="14">
        <v>46375</v>
      </c>
      <c r="B354" t="s">
        <v>11</v>
      </c>
      <c r="G354" s="1">
        <f t="shared" si="10"/>
        <v>0</v>
      </c>
      <c r="H354" s="2">
        <f t="shared" si="11"/>
        <v>0</v>
      </c>
    </row>
    <row r="355" spans="1:8" ht="15.75" customHeight="1" x14ac:dyDescent="0.2">
      <c r="A355" s="14">
        <v>46376</v>
      </c>
      <c r="B355" t="s">
        <v>12</v>
      </c>
      <c r="G355" s="1">
        <f t="shared" si="10"/>
        <v>0</v>
      </c>
      <c r="H355" s="2">
        <f t="shared" si="11"/>
        <v>0</v>
      </c>
    </row>
    <row r="356" spans="1:8" ht="15.75" customHeight="1" x14ac:dyDescent="0.2">
      <c r="A356" s="14">
        <v>46377</v>
      </c>
      <c r="B356" t="s">
        <v>13</v>
      </c>
      <c r="G356" s="1">
        <f t="shared" si="10"/>
        <v>0</v>
      </c>
      <c r="H356" s="2">
        <f t="shared" si="11"/>
        <v>0</v>
      </c>
    </row>
    <row r="357" spans="1:8" ht="15.75" customHeight="1" x14ac:dyDescent="0.2">
      <c r="A357" s="14">
        <v>46378</v>
      </c>
      <c r="B357" t="s">
        <v>14</v>
      </c>
      <c r="G357" s="1">
        <f t="shared" si="10"/>
        <v>0</v>
      </c>
      <c r="H357" s="2">
        <f t="shared" si="11"/>
        <v>0</v>
      </c>
    </row>
    <row r="358" spans="1:8" ht="15.75" customHeight="1" x14ac:dyDescent="0.2">
      <c r="A358" s="14">
        <v>46379</v>
      </c>
      <c r="B358" t="s">
        <v>17</v>
      </c>
      <c r="G358" s="1">
        <f t="shared" si="10"/>
        <v>0</v>
      </c>
      <c r="H358" s="2">
        <f t="shared" si="11"/>
        <v>0</v>
      </c>
    </row>
    <row r="359" spans="1:8" ht="15.75" customHeight="1" x14ac:dyDescent="0.2">
      <c r="A359" s="14">
        <v>46380</v>
      </c>
      <c r="B359" t="s">
        <v>9</v>
      </c>
      <c r="G359" s="1">
        <f t="shared" si="10"/>
        <v>0</v>
      </c>
      <c r="H359" s="2">
        <f t="shared" si="11"/>
        <v>0</v>
      </c>
    </row>
    <row r="360" spans="1:8" ht="15.75" customHeight="1" x14ac:dyDescent="0.2">
      <c r="A360" s="14">
        <v>46381</v>
      </c>
      <c r="B360" t="s">
        <v>10</v>
      </c>
      <c r="G360" s="1">
        <f t="shared" si="10"/>
        <v>0</v>
      </c>
      <c r="H360" s="2">
        <f t="shared" si="11"/>
        <v>0</v>
      </c>
    </row>
    <row r="361" spans="1:8" ht="15.75" customHeight="1" x14ac:dyDescent="0.2">
      <c r="A361" s="14">
        <v>46382</v>
      </c>
      <c r="B361" t="s">
        <v>11</v>
      </c>
      <c r="G361" s="1">
        <f t="shared" si="10"/>
        <v>0</v>
      </c>
      <c r="H361" s="2">
        <f t="shared" si="11"/>
        <v>0</v>
      </c>
    </row>
    <row r="362" spans="1:8" ht="15.75" customHeight="1" x14ac:dyDescent="0.2">
      <c r="A362" s="14">
        <v>46383</v>
      </c>
      <c r="B362" t="s">
        <v>12</v>
      </c>
      <c r="G362" s="1">
        <f t="shared" si="10"/>
        <v>0</v>
      </c>
      <c r="H362" s="2">
        <f t="shared" si="11"/>
        <v>0</v>
      </c>
    </row>
    <row r="363" spans="1:8" ht="15.75" customHeight="1" x14ac:dyDescent="0.2">
      <c r="A363" s="14">
        <v>46384</v>
      </c>
      <c r="B363" t="s">
        <v>13</v>
      </c>
      <c r="G363" s="1">
        <f t="shared" si="10"/>
        <v>0</v>
      </c>
      <c r="H363" s="2">
        <f t="shared" si="11"/>
        <v>0</v>
      </c>
    </row>
    <row r="364" spans="1:8" ht="15.75" customHeight="1" x14ac:dyDescent="0.2">
      <c r="A364" s="14">
        <v>46385</v>
      </c>
      <c r="B364" t="s">
        <v>14</v>
      </c>
      <c r="G364" s="1">
        <f t="shared" si="10"/>
        <v>0</v>
      </c>
      <c r="H364" s="2">
        <f t="shared" si="11"/>
        <v>0</v>
      </c>
    </row>
    <row r="365" spans="1:8" ht="15.75" customHeight="1" x14ac:dyDescent="0.2">
      <c r="A365" s="14">
        <v>46386</v>
      </c>
      <c r="B365" t="s">
        <v>17</v>
      </c>
      <c r="G365" s="1">
        <f t="shared" si="10"/>
        <v>0</v>
      </c>
      <c r="H365" s="2">
        <f t="shared" si="11"/>
        <v>0</v>
      </c>
    </row>
    <row r="366" spans="1:8" ht="15.75" customHeight="1" x14ac:dyDescent="0.2">
      <c r="A366" s="14">
        <v>46387</v>
      </c>
      <c r="B366" t="s">
        <v>9</v>
      </c>
      <c r="G366" s="1">
        <f t="shared" si="10"/>
        <v>0</v>
      </c>
      <c r="H366" s="2">
        <f t="shared" si="11"/>
        <v>0</v>
      </c>
    </row>
    <row r="367" spans="1:8" ht="15.75" customHeight="1" x14ac:dyDescent="0.2">
      <c r="A367" s="8"/>
    </row>
    <row r="368" spans="1:8" ht="15.75" customHeight="1" x14ac:dyDescent="0.2">
      <c r="A368" s="8"/>
    </row>
    <row r="369" spans="1:1" ht="15.75" customHeight="1" x14ac:dyDescent="0.2">
      <c r="A369" s="8"/>
    </row>
    <row r="370" spans="1:1" ht="15.75" customHeight="1" x14ac:dyDescent="0.2">
      <c r="A370" s="8"/>
    </row>
    <row r="371" spans="1:1" ht="15.75" customHeight="1" x14ac:dyDescent="0.2">
      <c r="A371" s="8"/>
    </row>
    <row r="372" spans="1:1" ht="15.75" customHeight="1" x14ac:dyDescent="0.2">
      <c r="A372" s="8"/>
    </row>
    <row r="373" spans="1:1" ht="15.75" customHeight="1" x14ac:dyDescent="0.2">
      <c r="A373" s="8"/>
    </row>
    <row r="374" spans="1:1" ht="15.75" customHeight="1" x14ac:dyDescent="0.2">
      <c r="A374" s="8"/>
    </row>
    <row r="375" spans="1:1" ht="15.75" customHeight="1" x14ac:dyDescent="0.2">
      <c r="A375" s="8"/>
    </row>
    <row r="376" spans="1:1" ht="15.75" customHeight="1" x14ac:dyDescent="0.2">
      <c r="A376" s="8"/>
    </row>
    <row r="377" spans="1:1" ht="15.75" customHeight="1" x14ac:dyDescent="0.2">
      <c r="A377" s="8"/>
    </row>
    <row r="378" spans="1:1" ht="15.75" customHeight="1" x14ac:dyDescent="0.2">
      <c r="A378" s="8"/>
    </row>
    <row r="379" spans="1:1" ht="15.75" customHeight="1" x14ac:dyDescent="0.2">
      <c r="A379" s="8"/>
    </row>
    <row r="380" spans="1:1" ht="15.75" customHeight="1" x14ac:dyDescent="0.2">
      <c r="A380" s="8"/>
    </row>
    <row r="381" spans="1:1" ht="15.75" customHeight="1" x14ac:dyDescent="0.2">
      <c r="A381" s="8"/>
    </row>
    <row r="382" spans="1:1" ht="15.75" customHeight="1" x14ac:dyDescent="0.2">
      <c r="A382" s="8"/>
    </row>
    <row r="383" spans="1:1" ht="15.75" customHeight="1" x14ac:dyDescent="0.2">
      <c r="A383" s="8"/>
    </row>
    <row r="384" spans="1:1" ht="15.75" customHeight="1" x14ac:dyDescent="0.2">
      <c r="A384" s="8"/>
    </row>
    <row r="385" spans="1:1" ht="15.75" customHeight="1" x14ac:dyDescent="0.2">
      <c r="A385" s="8"/>
    </row>
    <row r="386" spans="1:1" ht="15.75" customHeight="1" x14ac:dyDescent="0.2">
      <c r="A386" s="8"/>
    </row>
    <row r="387" spans="1:1" ht="15.75" customHeight="1" x14ac:dyDescent="0.2">
      <c r="A387" s="8"/>
    </row>
    <row r="388" spans="1:1" ht="15.75" customHeight="1" x14ac:dyDescent="0.2">
      <c r="A388" s="8"/>
    </row>
    <row r="389" spans="1:1" ht="15.75" customHeight="1" x14ac:dyDescent="0.2">
      <c r="A389" s="8"/>
    </row>
    <row r="390" spans="1:1" ht="15.75" customHeight="1" x14ac:dyDescent="0.2">
      <c r="A390" s="8"/>
    </row>
    <row r="391" spans="1:1" ht="15.75" customHeight="1" x14ac:dyDescent="0.2">
      <c r="A391" s="8"/>
    </row>
    <row r="392" spans="1:1" ht="15.75" customHeight="1" x14ac:dyDescent="0.2">
      <c r="A392" s="8"/>
    </row>
    <row r="393" spans="1:1" ht="15.75" customHeight="1" x14ac:dyDescent="0.2">
      <c r="A393" s="8"/>
    </row>
    <row r="394" spans="1:1" ht="15.75" customHeight="1" x14ac:dyDescent="0.2">
      <c r="A394" s="8"/>
    </row>
    <row r="395" spans="1:1" ht="15.75" customHeight="1" x14ac:dyDescent="0.2">
      <c r="A395" s="8"/>
    </row>
    <row r="396" spans="1:1" ht="15.75" customHeight="1" x14ac:dyDescent="0.2">
      <c r="A396" s="8"/>
    </row>
    <row r="397" spans="1:1" ht="15.75" customHeight="1" x14ac:dyDescent="0.2">
      <c r="A397" s="8"/>
    </row>
    <row r="398" spans="1:1" ht="15.75" customHeight="1" x14ac:dyDescent="0.2">
      <c r="A398" s="8"/>
    </row>
    <row r="399" spans="1:1" ht="15.75" customHeight="1" x14ac:dyDescent="0.2">
      <c r="A399" s="8"/>
    </row>
    <row r="400" spans="1:1" ht="15.75" customHeight="1" x14ac:dyDescent="0.2">
      <c r="A400" s="8"/>
    </row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honeticPr fontId="3" type="noConversion"/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03D7-BC6E-44BD-97E6-C5F066884EEA}">
  <dimension ref="A3:G16"/>
  <sheetViews>
    <sheetView tabSelected="1" zoomScale="66" workbookViewId="0">
      <selection activeCell="B27" sqref="B27"/>
    </sheetView>
  </sheetViews>
  <sheetFormatPr defaultRowHeight="15" x14ac:dyDescent="0.2"/>
  <cols>
    <col min="1" max="1" width="16.54296875" bestFit="1" customWidth="1"/>
    <col min="2" max="2" width="13.71875" bestFit="1" customWidth="1"/>
    <col min="3" max="3" width="23.67578125" bestFit="1" customWidth="1"/>
    <col min="4" max="4" width="18.5625" bestFit="1" customWidth="1"/>
    <col min="5" max="5" width="15.33203125" bestFit="1" customWidth="1"/>
    <col min="6" max="6" width="23.67578125" bestFit="1" customWidth="1"/>
    <col min="7" max="7" width="19.90625" bestFit="1" customWidth="1"/>
    <col min="8" max="9" width="18.5625" bestFit="1" customWidth="1"/>
    <col min="10" max="17" width="24.88671875" bestFit="1" customWidth="1"/>
    <col min="18" max="18" width="26.09765625" bestFit="1" customWidth="1"/>
    <col min="19" max="19" width="29.99609375" bestFit="1" customWidth="1"/>
    <col min="20" max="20" width="24.34765625" bestFit="1" customWidth="1"/>
    <col min="21" max="45" width="24.88671875" bestFit="1" customWidth="1"/>
    <col min="46" max="46" width="26.09765625" bestFit="1" customWidth="1"/>
    <col min="47" max="47" width="29.99609375" bestFit="1" customWidth="1"/>
    <col min="48" max="48" width="24.34765625" bestFit="1" customWidth="1"/>
    <col min="49" max="59" width="24.88671875" bestFit="1" customWidth="1"/>
    <col min="60" max="60" width="26.09765625" bestFit="1" customWidth="1"/>
    <col min="61" max="61" width="29.99609375" bestFit="1" customWidth="1"/>
    <col min="62" max="62" width="24.34765625" bestFit="1" customWidth="1"/>
    <col min="63" max="65" width="24.88671875" bestFit="1" customWidth="1"/>
    <col min="66" max="66" width="27.7109375" bestFit="1" customWidth="1"/>
    <col min="67" max="67" width="31.74609375" bestFit="1" customWidth="1"/>
    <col min="68" max="68" width="25.828125" bestFit="1" customWidth="1"/>
    <col min="69" max="69" width="26.36328125" bestFit="1" customWidth="1"/>
    <col min="70" max="70" width="30.40234375" bestFit="1" customWidth="1"/>
    <col min="71" max="71" width="24.75" bestFit="1" customWidth="1"/>
    <col min="72" max="72" width="26.36328125" bestFit="1" customWidth="1"/>
    <col min="73" max="73" width="30.40234375" bestFit="1" customWidth="1"/>
    <col min="74" max="74" width="24.75" bestFit="1" customWidth="1"/>
    <col min="75" max="77" width="24.88671875" bestFit="1" customWidth="1"/>
    <col min="78" max="78" width="27.7109375" bestFit="1" customWidth="1"/>
    <col min="79" max="79" width="31.74609375" bestFit="1" customWidth="1"/>
    <col min="80" max="80" width="25.828125" bestFit="1" customWidth="1"/>
    <col min="81" max="81" width="29.32421875" bestFit="1" customWidth="1"/>
    <col min="82" max="82" width="33.2265625" bestFit="1" customWidth="1"/>
    <col min="83" max="83" width="27.57421875" bestFit="1" customWidth="1"/>
    <col min="84" max="84" width="26.36328125" bestFit="1" customWidth="1"/>
    <col min="85" max="85" width="30.40234375" bestFit="1" customWidth="1"/>
    <col min="86" max="86" width="24.75" bestFit="1" customWidth="1"/>
    <col min="87" max="89" width="24.88671875" bestFit="1" customWidth="1"/>
    <col min="90" max="90" width="27.7109375" bestFit="1" customWidth="1"/>
    <col min="91" max="91" width="31.74609375" bestFit="1" customWidth="1"/>
    <col min="92" max="92" width="25.828125" bestFit="1" customWidth="1"/>
    <col min="93" max="93" width="26.36328125" bestFit="1" customWidth="1"/>
    <col min="94" max="94" width="30.40234375" bestFit="1" customWidth="1"/>
    <col min="95" max="95" width="24.75" bestFit="1" customWidth="1"/>
    <col min="96" max="98" width="24.88671875" bestFit="1" customWidth="1"/>
    <col min="99" max="99" width="27.7109375" bestFit="1" customWidth="1"/>
    <col min="100" max="100" width="31.74609375" bestFit="1" customWidth="1"/>
    <col min="101" max="101" width="25.828125" bestFit="1" customWidth="1"/>
    <col min="102" max="102" width="26.36328125" bestFit="1" customWidth="1"/>
    <col min="103" max="103" width="30.40234375" bestFit="1" customWidth="1"/>
    <col min="104" max="104" width="24.75" bestFit="1" customWidth="1"/>
    <col min="105" max="105" width="26.36328125" bestFit="1" customWidth="1"/>
    <col min="106" max="106" width="30.40234375" bestFit="1" customWidth="1"/>
    <col min="107" max="107" width="24.75" bestFit="1" customWidth="1"/>
    <col min="108" max="110" width="24.88671875" bestFit="1" customWidth="1"/>
    <col min="111" max="111" width="27.7109375" bestFit="1" customWidth="1"/>
    <col min="112" max="112" width="31.74609375" bestFit="1" customWidth="1"/>
    <col min="113" max="113" width="25.828125" bestFit="1" customWidth="1"/>
    <col min="114" max="114" width="26.36328125" bestFit="1" customWidth="1"/>
    <col min="115" max="115" width="30.40234375" bestFit="1" customWidth="1"/>
    <col min="116" max="116" width="24.75" bestFit="1" customWidth="1"/>
    <col min="117" max="119" width="24.88671875" bestFit="1" customWidth="1"/>
    <col min="120" max="120" width="27.7109375" bestFit="1" customWidth="1"/>
    <col min="121" max="121" width="31.74609375" bestFit="1" customWidth="1"/>
    <col min="122" max="122" width="25.828125" bestFit="1" customWidth="1"/>
    <col min="123" max="123" width="26.36328125" bestFit="1" customWidth="1"/>
    <col min="124" max="124" width="30.40234375" bestFit="1" customWidth="1"/>
    <col min="125" max="125" width="24.75" bestFit="1" customWidth="1"/>
    <col min="126" max="128" width="24.88671875" bestFit="1" customWidth="1"/>
    <col min="129" max="129" width="27.7109375" bestFit="1" customWidth="1"/>
    <col min="130" max="130" width="31.74609375" bestFit="1" customWidth="1"/>
    <col min="131" max="131" width="25.828125" bestFit="1" customWidth="1"/>
    <col min="132" max="132" width="26.36328125" bestFit="1" customWidth="1"/>
    <col min="133" max="133" width="30.40234375" bestFit="1" customWidth="1"/>
    <col min="134" max="134" width="24.75" bestFit="1" customWidth="1"/>
    <col min="135" max="137" width="24.88671875" bestFit="1" customWidth="1"/>
    <col min="138" max="138" width="27.7109375" bestFit="1" customWidth="1"/>
    <col min="139" max="139" width="31.74609375" bestFit="1" customWidth="1"/>
    <col min="140" max="140" width="25.828125" bestFit="1" customWidth="1"/>
    <col min="141" max="141" width="26.36328125" bestFit="1" customWidth="1"/>
    <col min="142" max="142" width="30.40234375" bestFit="1" customWidth="1"/>
    <col min="143" max="143" width="24.75" bestFit="1" customWidth="1"/>
    <col min="144" max="146" width="24.88671875" bestFit="1" customWidth="1"/>
    <col min="147" max="147" width="27.7109375" bestFit="1" customWidth="1"/>
    <col min="148" max="148" width="31.74609375" bestFit="1" customWidth="1"/>
    <col min="149" max="149" width="25.828125" bestFit="1" customWidth="1"/>
    <col min="150" max="150" width="26.36328125" bestFit="1" customWidth="1"/>
    <col min="151" max="151" width="30.40234375" bestFit="1" customWidth="1"/>
    <col min="152" max="152" width="24.75" bestFit="1" customWidth="1"/>
    <col min="153" max="155" width="24.88671875" bestFit="1" customWidth="1"/>
    <col min="156" max="156" width="27.7109375" bestFit="1" customWidth="1"/>
    <col min="157" max="157" width="31.74609375" bestFit="1" customWidth="1"/>
    <col min="158" max="158" width="25.828125" bestFit="1" customWidth="1"/>
    <col min="159" max="159" width="26.36328125" bestFit="1" customWidth="1"/>
    <col min="160" max="160" width="30.40234375" bestFit="1" customWidth="1"/>
    <col min="161" max="161" width="24.75" bestFit="1" customWidth="1"/>
    <col min="162" max="162" width="26.36328125" bestFit="1" customWidth="1"/>
    <col min="163" max="163" width="30.40234375" bestFit="1" customWidth="1"/>
    <col min="164" max="164" width="24.75" bestFit="1" customWidth="1"/>
    <col min="165" max="167" width="24.88671875" bestFit="1" customWidth="1"/>
    <col min="168" max="168" width="27.7109375" bestFit="1" customWidth="1"/>
    <col min="169" max="169" width="31.74609375" bestFit="1" customWidth="1"/>
    <col min="170" max="170" width="25.828125" bestFit="1" customWidth="1"/>
    <col min="171" max="171" width="26.36328125" bestFit="1" customWidth="1"/>
    <col min="172" max="172" width="30.40234375" bestFit="1" customWidth="1"/>
    <col min="173" max="173" width="24.75" bestFit="1" customWidth="1"/>
    <col min="174" max="174" width="26.36328125" bestFit="1" customWidth="1"/>
    <col min="175" max="175" width="30.40234375" bestFit="1" customWidth="1"/>
    <col min="176" max="176" width="24.75" bestFit="1" customWidth="1"/>
    <col min="177" max="179" width="24.88671875" bestFit="1" customWidth="1"/>
    <col min="180" max="180" width="29.32421875" bestFit="1" customWidth="1"/>
    <col min="181" max="181" width="33.2265625" bestFit="1" customWidth="1"/>
    <col min="182" max="182" width="27.57421875" bestFit="1" customWidth="1"/>
    <col min="183" max="183" width="29.32421875" bestFit="1" customWidth="1"/>
    <col min="184" max="184" width="33.2265625" bestFit="1" customWidth="1"/>
    <col min="185" max="185" width="27.57421875" bestFit="1" customWidth="1"/>
    <col min="186" max="186" width="29.32421875" bestFit="1" customWidth="1"/>
    <col min="187" max="187" width="33.2265625" bestFit="1" customWidth="1"/>
    <col min="188" max="188" width="27.57421875" bestFit="1" customWidth="1"/>
    <col min="189" max="191" width="24.88671875" bestFit="1" customWidth="1"/>
    <col min="192" max="192" width="27.7109375" bestFit="1" customWidth="1"/>
    <col min="193" max="193" width="31.74609375" bestFit="1" customWidth="1"/>
    <col min="194" max="194" width="25.828125" bestFit="1" customWidth="1"/>
    <col min="195" max="195" width="29.32421875" bestFit="1" customWidth="1"/>
    <col min="196" max="196" width="33.2265625" bestFit="1" customWidth="1"/>
    <col min="197" max="197" width="27.57421875" bestFit="1" customWidth="1"/>
    <col min="198" max="198" width="29.32421875" bestFit="1" customWidth="1"/>
    <col min="199" max="199" width="33.2265625" bestFit="1" customWidth="1"/>
    <col min="200" max="200" width="27.57421875" bestFit="1" customWidth="1"/>
    <col min="201" max="203" width="24.88671875" bestFit="1" customWidth="1"/>
    <col min="204" max="204" width="27.7109375" bestFit="1" customWidth="1"/>
    <col min="205" max="205" width="31.74609375" bestFit="1" customWidth="1"/>
    <col min="206" max="206" width="25.828125" bestFit="1" customWidth="1"/>
    <col min="207" max="207" width="27.7109375" bestFit="1" customWidth="1"/>
    <col min="208" max="208" width="31.74609375" bestFit="1" customWidth="1"/>
    <col min="209" max="209" width="25.828125" bestFit="1" customWidth="1"/>
    <col min="210" max="210" width="27.7109375" bestFit="1" customWidth="1"/>
    <col min="211" max="211" width="31.74609375" bestFit="1" customWidth="1"/>
    <col min="212" max="212" width="25.828125" bestFit="1" customWidth="1"/>
    <col min="213" max="213" width="26.09765625" bestFit="1" customWidth="1"/>
    <col min="214" max="214" width="29.99609375" bestFit="1" customWidth="1"/>
    <col min="215" max="215" width="24.34765625" bestFit="1" customWidth="1"/>
  </cols>
  <sheetData>
    <row r="3" spans="1:7" x14ac:dyDescent="0.2">
      <c r="A3" s="9" t="s">
        <v>0</v>
      </c>
      <c r="B3" s="9" t="s">
        <v>1</v>
      </c>
      <c r="C3" s="9" t="s">
        <v>37</v>
      </c>
      <c r="E3" s="5" t="s">
        <v>38</v>
      </c>
      <c r="F3" t="s">
        <v>37</v>
      </c>
      <c r="G3" t="s">
        <v>39</v>
      </c>
    </row>
    <row r="4" spans="1:7" x14ac:dyDescent="0.2">
      <c r="A4" s="6">
        <v>46167</v>
      </c>
      <c r="B4" t="s">
        <v>13</v>
      </c>
      <c r="C4" s="2">
        <v>0</v>
      </c>
      <c r="E4" s="4" t="s">
        <v>40</v>
      </c>
      <c r="F4" s="2">
        <v>1333</v>
      </c>
      <c r="G4" s="15">
        <v>4.6284722222222232</v>
      </c>
    </row>
    <row r="5" spans="1:7" x14ac:dyDescent="0.2">
      <c r="A5" s="6">
        <v>46168</v>
      </c>
      <c r="B5" t="s">
        <v>14</v>
      </c>
      <c r="C5" s="2">
        <v>58.999999999999986</v>
      </c>
      <c r="E5" s="4" t="s">
        <v>41</v>
      </c>
      <c r="F5" s="2">
        <v>1271.2</v>
      </c>
      <c r="G5" s="15">
        <v>4.4138888888888896</v>
      </c>
    </row>
    <row r="6" spans="1:7" x14ac:dyDescent="0.2">
      <c r="A6" s="6">
        <v>46169</v>
      </c>
      <c r="B6" t="s">
        <v>17</v>
      </c>
      <c r="C6" s="2">
        <v>46</v>
      </c>
      <c r="E6" s="4" t="s">
        <v>42</v>
      </c>
      <c r="F6" s="2">
        <v>1343.1999999999998</v>
      </c>
      <c r="G6" s="15">
        <v>4.6638888888888888</v>
      </c>
    </row>
    <row r="7" spans="1:7" x14ac:dyDescent="0.2">
      <c r="A7" s="6">
        <v>46170</v>
      </c>
      <c r="B7" t="s">
        <v>9</v>
      </c>
      <c r="C7" s="2">
        <v>44</v>
      </c>
      <c r="E7" s="4" t="s">
        <v>43</v>
      </c>
      <c r="F7" s="2">
        <v>1193.6000000000001</v>
      </c>
      <c r="G7" s="15">
        <v>4.1444444444444448</v>
      </c>
    </row>
    <row r="8" spans="1:7" x14ac:dyDescent="0.2">
      <c r="A8" s="6">
        <v>46171</v>
      </c>
      <c r="B8" t="s">
        <v>10</v>
      </c>
      <c r="C8" s="2">
        <v>47.999999999999986</v>
      </c>
      <c r="E8" s="4" t="s">
        <v>44</v>
      </c>
      <c r="F8" s="2">
        <v>1155.2</v>
      </c>
      <c r="G8" s="15">
        <v>4.0111111111111111</v>
      </c>
    </row>
    <row r="9" spans="1:7" x14ac:dyDescent="0.2">
      <c r="A9" s="6">
        <v>46172</v>
      </c>
      <c r="B9" t="s">
        <v>11</v>
      </c>
      <c r="C9" s="2">
        <v>127.4</v>
      </c>
      <c r="E9" s="4" t="s">
        <v>45</v>
      </c>
      <c r="F9" s="2">
        <v>0</v>
      </c>
      <c r="G9" s="15">
        <v>0</v>
      </c>
    </row>
    <row r="10" spans="1:7" x14ac:dyDescent="0.2">
      <c r="A10" s="6">
        <v>46173</v>
      </c>
      <c r="B10" t="s">
        <v>12</v>
      </c>
      <c r="C10" s="2">
        <v>0</v>
      </c>
      <c r="E10" s="4" t="s">
        <v>46</v>
      </c>
      <c r="F10" s="2">
        <v>0</v>
      </c>
      <c r="G10" s="15">
        <v>0</v>
      </c>
    </row>
    <row r="11" spans="1:7" x14ac:dyDescent="0.2">
      <c r="A11" s="11" t="s">
        <v>52</v>
      </c>
      <c r="B11" s="9"/>
      <c r="C11" s="10">
        <v>324.39999999999998</v>
      </c>
      <c r="E11" s="4" t="s">
        <v>47</v>
      </c>
      <c r="F11" s="2">
        <v>0</v>
      </c>
      <c r="G11" s="15">
        <v>0</v>
      </c>
    </row>
    <row r="12" spans="1:7" x14ac:dyDescent="0.2">
      <c r="E12" s="4" t="s">
        <v>48</v>
      </c>
      <c r="F12" s="2">
        <v>0</v>
      </c>
      <c r="G12" s="15">
        <v>0</v>
      </c>
    </row>
    <row r="13" spans="1:7" x14ac:dyDescent="0.2">
      <c r="E13" s="4" t="s">
        <v>49</v>
      </c>
      <c r="F13" s="2">
        <v>0</v>
      </c>
      <c r="G13" s="15">
        <v>0</v>
      </c>
    </row>
    <row r="14" spans="1:7" x14ac:dyDescent="0.2">
      <c r="E14" s="4" t="s">
        <v>50</v>
      </c>
      <c r="F14" s="2">
        <v>0</v>
      </c>
      <c r="G14" s="15">
        <v>0</v>
      </c>
    </row>
    <row r="15" spans="1:7" x14ac:dyDescent="0.2">
      <c r="E15" s="4" t="s">
        <v>51</v>
      </c>
      <c r="F15" s="2">
        <v>0</v>
      </c>
      <c r="G15" s="15">
        <v>0</v>
      </c>
    </row>
    <row r="16" spans="1:7" x14ac:dyDescent="0.2">
      <c r="E16" s="4" t="s">
        <v>52</v>
      </c>
      <c r="F16" s="2">
        <v>6296.2</v>
      </c>
      <c r="G16" s="15">
        <v>21.861805555555556</v>
      </c>
    </row>
  </sheetData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de Horas</vt:lpstr>
      <vt:lpstr>Filtro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/>
  <dcterms:created xsi:type="dcterms:W3CDTF">2026-01-30T19:28:17Z</dcterms:created>
  <dcterms:modified xsi:type="dcterms:W3CDTF">2026-02-23T19:02:27Z</dcterms:modified>
  <cp:category/>
  <cp:contentStatus/>
</cp:coreProperties>
</file>